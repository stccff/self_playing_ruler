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EV\project\self_playing_ruler\v1\"/>
    </mc:Choice>
  </mc:AlternateContent>
  <xr:revisionPtr revIDLastSave="0" documentId="13_ncr:1_{798D3140-F84A-45F1-B281-43D326624F3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钢尺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3" i="1" l="1"/>
  <c r="G37" i="1"/>
  <c r="G32" i="1"/>
  <c r="G34" i="1"/>
  <c r="G35" i="1"/>
  <c r="G16" i="1"/>
  <c r="G31" i="1"/>
  <c r="G30" i="1"/>
  <c r="G29" i="1"/>
  <c r="G18" i="1"/>
  <c r="G19" i="1"/>
  <c r="G20" i="1"/>
  <c r="G17" i="1"/>
  <c r="G3" i="1"/>
  <c r="G4" i="1"/>
  <c r="G5" i="1"/>
  <c r="G6" i="1"/>
  <c r="G7" i="1"/>
  <c r="G8" i="1"/>
  <c r="G9" i="1"/>
  <c r="G10" i="1"/>
  <c r="G11" i="1"/>
  <c r="G13" i="1"/>
  <c r="G14" i="1"/>
  <c r="G15" i="1"/>
  <c r="G21" i="1"/>
  <c r="G22" i="1"/>
  <c r="G23" i="1"/>
  <c r="G24" i="1"/>
  <c r="G26" i="1"/>
  <c r="G12" i="1"/>
  <c r="G25" i="1"/>
  <c r="G27" i="1"/>
  <c r="G28" i="1"/>
  <c r="G2" i="1"/>
</calcChain>
</file>

<file path=xl/sharedStrings.xml><?xml version="1.0" encoding="utf-8"?>
<sst xmlns="http://schemas.openxmlformats.org/spreadsheetml/2006/main" count="144" uniqueCount="77">
  <si>
    <t>类别</t>
    <phoneticPr fontId="1" type="noConversion"/>
  </si>
  <si>
    <t>名称</t>
    <phoneticPr fontId="1" type="noConversion"/>
  </si>
  <si>
    <t>数量</t>
    <phoneticPr fontId="1" type="noConversion"/>
  </si>
  <si>
    <t>结构</t>
  </si>
  <si>
    <t>esp32s3-devkitc开发板</t>
    <phoneticPr fontId="1" type="noConversion"/>
  </si>
  <si>
    <t>sg90舵机</t>
    <phoneticPr fontId="1" type="noConversion"/>
  </si>
  <si>
    <t>Y15-56丝杆步进电机（光驱拆机）</t>
    <phoneticPr fontId="1" type="noConversion"/>
  </si>
  <si>
    <t>inmp441数字麦克风模块</t>
    <phoneticPr fontId="1" type="noConversion"/>
  </si>
  <si>
    <t>10cm超薄钢尺</t>
    <phoneticPr fontId="1" type="noConversion"/>
  </si>
  <si>
    <t>3mm*10cm光轴</t>
    <phoneticPr fontId="1" type="noConversion"/>
  </si>
  <si>
    <t>DC12V-24V电磁铁（拆机）</t>
    <phoneticPr fontId="1" type="noConversion"/>
  </si>
  <si>
    <t>器件</t>
  </si>
  <si>
    <t>PCB</t>
  </si>
  <si>
    <t>1x22P排母</t>
    <phoneticPr fontId="1" type="noConversion"/>
  </si>
  <si>
    <t>1x8P排母</t>
    <phoneticPr fontId="1" type="noConversion"/>
  </si>
  <si>
    <t>4P FPC 1.0mm -&gt; 2.54转换板</t>
    <phoneticPr fontId="1" type="noConversion"/>
  </si>
  <si>
    <t>双L9110s H桥模块</t>
    <phoneticPr fontId="1" type="noConversion"/>
  </si>
  <si>
    <t>usb type-c数据线</t>
    <phoneticPr fontId="1" type="noConversion"/>
  </si>
  <si>
    <t>1x2P排母</t>
    <phoneticPr fontId="1" type="noConversion"/>
  </si>
  <si>
    <t>1x6P排母</t>
    <phoneticPr fontId="1" type="noConversion"/>
  </si>
  <si>
    <t>esp32s3</t>
    <phoneticPr fontId="1" type="noConversion"/>
  </si>
  <si>
    <t>drv8825</t>
    <phoneticPr fontId="1" type="noConversion"/>
  </si>
  <si>
    <t>MP1584EN</t>
    <phoneticPr fontId="1" type="noConversion"/>
  </si>
  <si>
    <t>L9110s</t>
    <phoneticPr fontId="1" type="noConversion"/>
  </si>
  <si>
    <t>连接对象</t>
    <phoneticPr fontId="1" type="noConversion"/>
  </si>
  <si>
    <t>mic</t>
    <phoneticPr fontId="1" type="noConversion"/>
  </si>
  <si>
    <t>https://item.taobao.com/item.htm?id=592441007488&amp;skuId=4073794208655&amp;spm=tbpc.boughtlist.suborder_itempic.d592441007488.10d62e8dVyjSDR</t>
  </si>
  <si>
    <t>参考购买链接</t>
    <phoneticPr fontId="1" type="noConversion"/>
  </si>
  <si>
    <t>开源链接</t>
    <phoneticPr fontId="1" type="noConversion"/>
  </si>
  <si>
    <t>参考单价</t>
    <phoneticPr fontId="1" type="noConversion"/>
  </si>
  <si>
    <t>https://detail.tmall.com/item.htm?id=680516964370&amp;skuId=5675436564491&amp;spm=tbpc.boughtlist.suborder_itemtitle.1.10d62e8dVyjSDR</t>
  </si>
  <si>
    <t>共计</t>
    <phoneticPr fontId="1" type="noConversion"/>
  </si>
  <si>
    <t>主板PCB</t>
    <phoneticPr fontId="1" type="noConversion"/>
  </si>
  <si>
    <t>结构模型</t>
    <phoneticPr fontId="1" type="noConversion"/>
  </si>
  <si>
    <t>3D打印</t>
    <phoneticPr fontId="1" type="noConversion"/>
  </si>
  <si>
    <t>DC-12V2A直流电源？？？？</t>
    <phoneticPr fontId="1" type="noConversion"/>
  </si>
  <si>
    <t>https://item.taobao.com/item.htm?abbucket=20&amp;detail_redpacket_pop=true&amp;id=669443108979&amp;ltk2=1750943691516h0utfqqtda6dfpbcsd3n3&amp;ns=1&amp;priceTId=undefined&amp;query=%E6%BA%90%E5%9C%B0%E5%B7%A5%E4%BD%9C%E5%AE%A4&amp;skuId=4858077829172&amp;spm=a21n57.1.hoverItem.1&amp;utparam=%7B%22aplus_abtest%22%3A%22ed715e6d3d4816270455c5e7cef52214%22%7D&amp;xxc=taobaoSearch</t>
    <phoneticPr fontId="1" type="noConversion"/>
  </si>
  <si>
    <t>https://detail.tmall.com/item.htm?id=609793364367&amp;skuId=4291793301378&amp;spm=tbpc.boughtlist.suborder_itempic.d609793364367.10d62e8dVyjSDR</t>
    <phoneticPr fontId="1" type="noConversion"/>
  </si>
  <si>
    <t>https://item.taobao.com/item.htm?abbucket=20&amp;detail_redpacket_pop=true&amp;id=574575187236&amp;ltk2=1751028005018gwjf6h4gbpns4d35oyds2l&amp;ns=1&amp;priceTId=2147811517510279986216023e13e2&amp;query=mp1584&amp;skuId=4395278449498&amp;spm=a21n57.1.hoverItem.2&amp;utparam=%7B%22aplus_abtest%22%3A%229411cbe36a198c7d92939a4cee7f0f9b%22%7D&amp;xxc=taobaoSearch</t>
    <phoneticPr fontId="1" type="noConversion"/>
  </si>
  <si>
    <t>https://detail.tmall.com/item.htm?id=678498890304&amp;skuId=5719859296396&amp;spm=tbpc.boughtlist.suborder_itemtitle.1.10d62e8dVyjSDR</t>
    <phoneticPr fontId="1" type="noConversion"/>
  </si>
  <si>
    <t>https://item.taobao.com/item.htm?id=642594293054&amp;spm=tbpc.boughtlist.suborder_itemtitle.1.10d62e8dVyjSDR</t>
    <phoneticPr fontId="1" type="noConversion"/>
  </si>
  <si>
    <t>https://item.taobao.com/item.htm?id=654074095766&amp;skuId=4712438424221&amp;spm=tbpc.boughtlist.suborder_itemtitle.1.10d62e8dVyjSDR</t>
    <phoneticPr fontId="1" type="noConversion"/>
  </si>
  <si>
    <t>https://item.taobao.com/item.htm?id=608292096518&amp;spm=tbpc.boughtlist.suborder_itemtitle.1.10d62e8dVyjSDR</t>
    <phoneticPr fontId="1" type="noConversion"/>
  </si>
  <si>
    <t>https://item.taobao.com/item.htm?id=578507772290&amp;spm=tbpc.boughtlist.suborder_itempic.d578507772290.10d62e8dVyjSDR</t>
    <phoneticPr fontId="1" type="noConversion"/>
  </si>
  <si>
    <t>https://item.taobao.com/item.htm?detail_redpacket_pop=true&amp;id=626199425626&amp;ltk2=1751028457417x1ztygtav1rmm25zziu6b&amp;ns=1&amp;priceTId=undefined&amp;query=dc12v%E7%94%B5%E6%BA%90&amp;skuId=4610095722669&amp;spm=a21n57.1.hoverItem.13&amp;utparam=%7B%22aplus_abtest%22%3A%22dac528bd7fb814ce7404f3f0987f428f%22%7D&amp;xxc=ad_ztc</t>
    <phoneticPr fontId="1" type="noConversion"/>
  </si>
  <si>
    <t>https://item.taobao.com/item.htm?abbucket=20&amp;detail_redpacket_pop=true&amp;id=666044638506&amp;ltk2=1751028533293nsi8c17kvxj88tw35rg7q&amp;ns=1&amp;priceTId=2147811517510285227631843e13e2&amp;query=typec%E6%95%B0%E6%8D%AE%E7%BA%BF&amp;skuId=4973412491558&amp;spm=a21n57.1.hoverItem.4&amp;utparam=%7B%22aplus_abtest%22%3A%22487ff45eb499e2625ac231b54903267d%22%7D&amp;xxc=taobaoSearch</t>
    <phoneticPr fontId="1" type="noConversion"/>
  </si>
  <si>
    <t>https://item.taobao.com/item.htm?from=cart&amp;id=552721736398&amp;skuId=4760839875224&amp;spm=a1z0d.6639537%2F202410.item.d552721736398.108e74849ou4W4</t>
    <phoneticPr fontId="1" type="noConversion"/>
  </si>
  <si>
    <t>https://item.taobao.com/item.htm?id=15813904618&amp;spm=tbpc.boughtlist.suborder_itemtitle.1.1d8c2e8d4qGEzI</t>
    <phoneticPr fontId="1" type="noConversion"/>
  </si>
  <si>
    <t>https://item.taobao.com/item.htm?id=14591564405&amp;spm=tbpc.boughtlist.suborder_itemtitle.1.1d8c2e8d4qGEzI</t>
    <phoneticPr fontId="1" type="noConversion"/>
  </si>
  <si>
    <t>必要</t>
    <phoneticPr fontId="1" type="noConversion"/>
  </si>
  <si>
    <t>可选</t>
  </si>
  <si>
    <t>是否可选</t>
    <phoneticPr fontId="1" type="noConversion"/>
  </si>
  <si>
    <t>嘉立创PCB免费打样</t>
    <phoneticPr fontId="1" type="noConversion"/>
  </si>
  <si>
    <t>M1.4*7自攻螺丝</t>
    <phoneticPr fontId="1" type="noConversion"/>
  </si>
  <si>
    <t>M2.5*10自攻螺丝</t>
    <phoneticPr fontId="1" type="noConversion"/>
  </si>
  <si>
    <t>M2*5螺帽</t>
    <phoneticPr fontId="1" type="noConversion"/>
  </si>
  <si>
    <t>M2*5？圆头螺丝</t>
    <phoneticPr fontId="1" type="noConversion"/>
  </si>
  <si>
    <t>https://detail.tmall.com/item.htm?id=682216315966&amp;spm=tbpc.boughtlist.suborder_itemtitle.1.1d8c2e8d4qGEzI</t>
    <phoneticPr fontId="1" type="noConversion"/>
  </si>
  <si>
    <t>https://item.taobao.com/item.htm?id=755201657209&amp;skuId=5379709963747&amp;spm=tbpc.boughtlist.suborder_itempic.d755201657209.1d8c2e8d4qGEzI</t>
    <phoneticPr fontId="1" type="noConversion"/>
  </si>
  <si>
    <t>总计</t>
    <phoneticPr fontId="1" type="noConversion"/>
  </si>
  <si>
    <t>多个</t>
    <phoneticPr fontId="1" type="noConversion"/>
  </si>
  <si>
    <t>直插电阻10k</t>
    <phoneticPr fontId="1" type="noConversion"/>
  </si>
  <si>
    <t>直插电阻3.3k</t>
    <phoneticPr fontId="1" type="noConversion"/>
  </si>
  <si>
    <t>元件</t>
  </si>
  <si>
    <t>电解电容330uF</t>
    <phoneticPr fontId="1" type="noConversion"/>
  </si>
  <si>
    <t>润滑脂</t>
    <phoneticPr fontId="1" type="noConversion"/>
  </si>
  <si>
    <t>1x40P排针（掰开使用）</t>
    <phoneticPr fontId="1" type="noConversion"/>
  </si>
  <si>
    <t>杜邦线（约21cm）</t>
    <phoneticPr fontId="1" type="noConversion"/>
  </si>
  <si>
    <t>https://detail.tmall.com/item.htm?id=14466195609&amp;skuId=5922240227983&amp;spm=tbpc.boughtlist.suborder_itemtitle.1.1d8c2e8d4qGEzI</t>
    <phoneticPr fontId="1" type="noConversion"/>
  </si>
  <si>
    <t>DC电源插座，5.5-2.1mm</t>
    <phoneticPr fontId="1" type="noConversion"/>
  </si>
  <si>
    <t>MP1584EN/mini360 可调降压模块</t>
    <phoneticPr fontId="1" type="noConversion"/>
  </si>
  <si>
    <t>https://item.taobao.com/item.htm?id=14986857930&amp;spm=tbpc.boughtlist.suborder_itemtitle.1.1d8c2e8d4qGEzI</t>
  </si>
  <si>
    <t>drv8825/a4988步进电机驱动模块</t>
    <phoneticPr fontId="1" type="noConversion"/>
  </si>
  <si>
    <t>贴片电容1uF</t>
    <phoneticPr fontId="1" type="noConversion"/>
  </si>
  <si>
    <t>贴片电阻10K</t>
    <phoneticPr fontId="1" type="noConversion"/>
  </si>
  <si>
    <t>贴片电阻150K</t>
    <phoneticPr fontId="1" type="noConversion"/>
  </si>
  <si>
    <t>负载开关SGM2521YS8G/TR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</si>
</sst>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D5FE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0" borderId="0" xfId="0" applyFont="1"/>
    <xf numFmtId="0" fontId="3" fillId="0" borderId="0" xfId="1"/>
    <xf numFmtId="0" fontId="0" fillId="0" borderId="0" xfId="0" applyAlignment="1">
      <alignment horizontal="center"/>
    </xf>
    <xf numFmtId="0" fontId="3" fillId="0" borderId="0" xfId="1" applyAlignment="1"/>
    <xf numFmtId="0" fontId="2" fillId="0" borderId="0" xfId="0" applyFon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FFFCC"/>
      <color rgb="FFFFD5FE"/>
      <color rgb="FFFFBDFD"/>
      <color rgb="FFDFF8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578507772290&amp;spm=tbpc.boughtlist.suborder_itempic.d578507772290.10d62e8dVyjSDR" TargetMode="External"/><Relationship Id="rId13" Type="http://schemas.openxmlformats.org/officeDocument/2006/relationships/hyperlink" Target="https://item.taobao.com/item.htm?id=15813904618&amp;spm=tbpc.boughtlist.suborder_itemtitle.1.1d8c2e8d4qGEzI" TargetMode="External"/><Relationship Id="rId18" Type="http://schemas.openxmlformats.org/officeDocument/2006/relationships/hyperlink" Target="https://item.taobao.com/item.htm?id=755201657209&amp;skuId=5379709963747&amp;spm=tbpc.boughtlist.suborder_itempic.d755201657209.1d8c2e8d4qGEzI" TargetMode="External"/><Relationship Id="rId3" Type="http://schemas.openxmlformats.org/officeDocument/2006/relationships/hyperlink" Target="https://item.taobao.com/item.htm?abbucket=20&amp;detail_redpacket_pop=true&amp;id=574575187236&amp;ltk2=1751028005018gwjf6h4gbpns4d35oyds2l&amp;ns=1&amp;priceTId=2147811517510279986216023e13e2&amp;query=mp1584&amp;skuId=4395278449498&amp;spm=a21n57.1.hoverItem.2&amp;utparam=%7B%22aplus_abtest%22%3A%229411cbe36a198c7d92939a4cee7f0f9b%22%7D&amp;xxc=taobaoSearch" TargetMode="External"/><Relationship Id="rId21" Type="http://schemas.openxmlformats.org/officeDocument/2006/relationships/hyperlink" Target="https://detail.tmall.com/item.htm?id=14466195609&amp;skuId=5922240227983&amp;spm=tbpc.boughtlist.suborder_itemtitle.1.1d8c2e8d4qGEzI" TargetMode="External"/><Relationship Id="rId7" Type="http://schemas.openxmlformats.org/officeDocument/2006/relationships/hyperlink" Target="https://item.taobao.com/item.htm?id=608292096518&amp;spm=tbpc.boughtlist.suborder_itemtitle.1.10d62e8dVyjSDR" TargetMode="External"/><Relationship Id="rId12" Type="http://schemas.openxmlformats.org/officeDocument/2006/relationships/hyperlink" Target="https://item.taobao.com/item.htm?id=15813904618&amp;spm=tbpc.boughtlist.suborder_itemtitle.1.1d8c2e8d4qGEzI" TargetMode="External"/><Relationship Id="rId17" Type="http://schemas.openxmlformats.org/officeDocument/2006/relationships/hyperlink" Target="https://detail.tmall.com/item.htm?id=682216315966&amp;spm=tbpc.boughtlist.suborder_itemtitle.1.1d8c2e8d4qGEzI" TargetMode="External"/><Relationship Id="rId2" Type="http://schemas.openxmlformats.org/officeDocument/2006/relationships/hyperlink" Target="https://detail.tmall.com/item.htm?id=609793364367&amp;skuId=4291793301378&amp;spm=tbpc.boughtlist.suborder_itempic.d609793364367.10d62e8dVyjSDR" TargetMode="External"/><Relationship Id="rId16" Type="http://schemas.openxmlformats.org/officeDocument/2006/relationships/hyperlink" Target="https://item.taobao.com/item.htm?id=14591564405&amp;spm=tbpc.boughtlist.suborder_itemtitle.1.1d8c2e8d4qGEzI" TargetMode="External"/><Relationship Id="rId20" Type="http://schemas.openxmlformats.org/officeDocument/2006/relationships/hyperlink" Target="https://item.taobao.com/item.htm?id=755201657209&amp;skuId=5379709963747&amp;spm=tbpc.boughtlist.suborder_itempic.d755201657209.1d8c2e8d4qGEzI" TargetMode="External"/><Relationship Id="rId1" Type="http://schemas.openxmlformats.org/officeDocument/2006/relationships/hyperlink" Target="https://item.taobao.com/item.htm?abbucket=20&amp;detail_redpacket_pop=true&amp;id=669443108979&amp;ltk2=1750943691516h0utfqqtda6dfpbcsd3n3&amp;ns=1&amp;priceTId=undefined&amp;query=%E6%BA%90%E5%9C%B0%E5%B7%A5%E4%BD%9C%E5%AE%A4&amp;skuId=4858077829172&amp;spm=a21n57.1.hoverItem.1&amp;utparam=%7B%22aplus_abtest%22%3A%22ed715e6d3d4816270455c5e7cef52214%22%7D&amp;xxc=taobaoSearch" TargetMode="External"/><Relationship Id="rId6" Type="http://schemas.openxmlformats.org/officeDocument/2006/relationships/hyperlink" Target="https://item.taobao.com/item.htm?id=654074095766&amp;skuId=4712438424221&amp;spm=tbpc.boughtlist.suborder_itemtitle.1.10d62e8dVyjSDR" TargetMode="External"/><Relationship Id="rId11" Type="http://schemas.openxmlformats.org/officeDocument/2006/relationships/hyperlink" Target="https://item.taobao.com/item.htm?from=cart&amp;id=552721736398&amp;skuId=4760839875224&amp;spm=a1z0d.6639537%2F202410.item.d552721736398.108e74849ou4W4" TargetMode="External"/><Relationship Id="rId5" Type="http://schemas.openxmlformats.org/officeDocument/2006/relationships/hyperlink" Target="https://item.taobao.com/item.htm?id=642594293054&amp;spm=tbpc.boughtlist.suborder_itemtitle.1.10d62e8dVyjSDR" TargetMode="External"/><Relationship Id="rId15" Type="http://schemas.openxmlformats.org/officeDocument/2006/relationships/hyperlink" Target="https://item.taobao.com/item.htm?id=15813904618&amp;spm=tbpc.boughtlist.suborder_itemtitle.1.1d8c2e8d4qGEzI" TargetMode="External"/><Relationship Id="rId10" Type="http://schemas.openxmlformats.org/officeDocument/2006/relationships/hyperlink" Target="https://item.taobao.com/item.htm?abbucket=20&amp;detail_redpacket_pop=true&amp;id=666044638506&amp;ltk2=1751028533293nsi8c17kvxj88tw35rg7q&amp;ns=1&amp;priceTId=2147811517510285227631843e13e2&amp;query=typec%E6%95%B0%E6%8D%AE%E7%BA%BF&amp;skuId=4973412491558&amp;spm=a21n57.1.hoverItem.4&amp;utparam=%7B%22aplus_abtest%22%3A%22487ff45eb499e2625ac231b54903267d%22%7D&amp;xxc=taobaoSearch" TargetMode="External"/><Relationship Id="rId19" Type="http://schemas.openxmlformats.org/officeDocument/2006/relationships/hyperlink" Target="https://item.taobao.com/item.htm?id=755201657209&amp;skuId=5379709963747&amp;spm=tbpc.boughtlist.suborder_itempic.d755201657209.1d8c2e8d4qGEzI" TargetMode="External"/><Relationship Id="rId4" Type="http://schemas.openxmlformats.org/officeDocument/2006/relationships/hyperlink" Target="https://detail.tmall.com/item.htm?id=678498890304&amp;skuId=5719859296396&amp;spm=tbpc.boughtlist.suborder_itemtitle.1.10d62e8dVyjSDR" TargetMode="External"/><Relationship Id="rId9" Type="http://schemas.openxmlformats.org/officeDocument/2006/relationships/hyperlink" Target="https://item.taobao.com/item.htm?detail_redpacket_pop=true&amp;id=626199425626&amp;ltk2=1751028457417x1ztygtav1rmm25zziu6b&amp;ns=1&amp;priceTId=undefined&amp;query=dc12v%E7%94%B5%E6%BA%90&amp;skuId=4610095722669&amp;spm=a21n57.1.hoverItem.13&amp;utparam=%7B%22aplus_abtest%22%3A%22dac528bd7fb814ce7404f3f0987f428f%22%7D&amp;xxc=ad_ztc" TargetMode="External"/><Relationship Id="rId14" Type="http://schemas.openxmlformats.org/officeDocument/2006/relationships/hyperlink" Target="https://item.taobao.com/item.htm?id=15813904618&amp;spm=tbpc.boughtlist.suborder_itemtitle.1.1d8c2e8d4qGEz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7"/>
  <sheetViews>
    <sheetView tabSelected="1" topLeftCell="A7" workbookViewId="0">
      <selection activeCell="I32" sqref="I32"/>
    </sheetView>
  </sheetViews>
  <sheetFormatPr defaultRowHeight="14" x14ac:dyDescent="0.3"/>
  <cols>
    <col min="1" max="2" width="8.6640625" style="10"/>
    <col min="3" max="3" width="33.1640625" bestFit="1" customWidth="1"/>
    <col min="4" max="4" width="10" bestFit="1" customWidth="1"/>
    <col min="5" max="5" width="4.9140625" bestFit="1" customWidth="1"/>
    <col min="6" max="6" width="8.83203125" bestFit="1" customWidth="1"/>
    <col min="7" max="7" width="8.83203125" customWidth="1"/>
    <col min="8" max="9" width="16.33203125" customWidth="1"/>
  </cols>
  <sheetData>
    <row r="1" spans="1:9" s="12" customFormat="1" x14ac:dyDescent="0.3">
      <c r="A1" s="12" t="s">
        <v>51</v>
      </c>
      <c r="B1" s="12" t="s">
        <v>0</v>
      </c>
      <c r="C1" s="12" t="s">
        <v>1</v>
      </c>
      <c r="D1" s="12" t="s">
        <v>24</v>
      </c>
      <c r="E1" s="12" t="s">
        <v>2</v>
      </c>
      <c r="F1" s="12" t="s">
        <v>29</v>
      </c>
      <c r="G1" s="12" t="s">
        <v>31</v>
      </c>
      <c r="H1" s="12" t="s">
        <v>27</v>
      </c>
      <c r="I1" s="12" t="s">
        <v>28</v>
      </c>
    </row>
    <row r="2" spans="1:9" x14ac:dyDescent="0.3">
      <c r="A2" s="10" t="s">
        <v>49</v>
      </c>
      <c r="B2" s="10" t="s">
        <v>11</v>
      </c>
      <c r="C2" s="1" t="s">
        <v>4</v>
      </c>
      <c r="E2">
        <v>1</v>
      </c>
      <c r="F2">
        <v>27.9</v>
      </c>
      <c r="G2">
        <f>E2*F2</f>
        <v>27.9</v>
      </c>
      <c r="H2" s="9" t="s">
        <v>36</v>
      </c>
    </row>
    <row r="3" spans="1:9" x14ac:dyDescent="0.3">
      <c r="A3" s="10" t="s">
        <v>49</v>
      </c>
      <c r="B3" s="10" t="s">
        <v>11</v>
      </c>
      <c r="C3" s="2" t="s">
        <v>72</v>
      </c>
      <c r="E3">
        <v>1</v>
      </c>
      <c r="F3">
        <v>4.7</v>
      </c>
      <c r="G3">
        <f t="shared" ref="G3:G28" si="0">E3*F3</f>
        <v>4.7</v>
      </c>
      <c r="H3" s="9" t="s">
        <v>37</v>
      </c>
    </row>
    <row r="4" spans="1:9" x14ac:dyDescent="0.3">
      <c r="A4" s="10" t="s">
        <v>49</v>
      </c>
      <c r="B4" s="10" t="s">
        <v>11</v>
      </c>
      <c r="C4" s="3" t="s">
        <v>70</v>
      </c>
      <c r="E4">
        <v>1</v>
      </c>
      <c r="F4">
        <v>1.57</v>
      </c>
      <c r="G4">
        <f t="shared" si="0"/>
        <v>1.57</v>
      </c>
      <c r="H4" s="9" t="s">
        <v>38</v>
      </c>
    </row>
    <row r="5" spans="1:9" x14ac:dyDescent="0.3">
      <c r="A5" s="10" t="s">
        <v>49</v>
      </c>
      <c r="B5" s="10" t="s">
        <v>11</v>
      </c>
      <c r="C5" s="5" t="s">
        <v>5</v>
      </c>
      <c r="E5">
        <v>1</v>
      </c>
      <c r="F5">
        <v>4.2</v>
      </c>
      <c r="G5">
        <f t="shared" si="0"/>
        <v>4.2</v>
      </c>
      <c r="H5" s="9" t="s">
        <v>39</v>
      </c>
    </row>
    <row r="6" spans="1:9" x14ac:dyDescent="0.3">
      <c r="A6" s="10" t="s">
        <v>49</v>
      </c>
      <c r="B6" s="10" t="s">
        <v>11</v>
      </c>
      <c r="C6" s="4" t="s">
        <v>6</v>
      </c>
      <c r="E6">
        <v>1</v>
      </c>
      <c r="F6">
        <v>4.9000000000000004</v>
      </c>
      <c r="G6">
        <f t="shared" si="0"/>
        <v>4.9000000000000004</v>
      </c>
      <c r="H6" s="9" t="s">
        <v>40</v>
      </c>
    </row>
    <row r="7" spans="1:9" x14ac:dyDescent="0.3">
      <c r="A7" s="10" t="s">
        <v>49</v>
      </c>
      <c r="B7" s="10" t="s">
        <v>11</v>
      </c>
      <c r="C7" s="6" t="s">
        <v>16</v>
      </c>
      <c r="E7">
        <v>1</v>
      </c>
      <c r="F7">
        <v>2.2999999999999998</v>
      </c>
      <c r="G7">
        <f t="shared" si="0"/>
        <v>2.2999999999999998</v>
      </c>
      <c r="H7" s="9" t="s">
        <v>41</v>
      </c>
    </row>
    <row r="8" spans="1:9" x14ac:dyDescent="0.3">
      <c r="A8" s="10" t="s">
        <v>49</v>
      </c>
      <c r="B8" s="10" t="s">
        <v>11</v>
      </c>
      <c r="C8" s="7" t="s">
        <v>7</v>
      </c>
      <c r="E8">
        <v>1</v>
      </c>
      <c r="F8">
        <v>3.8</v>
      </c>
      <c r="G8">
        <f t="shared" si="0"/>
        <v>3.8</v>
      </c>
      <c r="H8" s="9" t="s">
        <v>42</v>
      </c>
    </row>
    <row r="9" spans="1:9" x14ac:dyDescent="0.3">
      <c r="A9" s="10" t="s">
        <v>49</v>
      </c>
      <c r="B9" s="10" t="s">
        <v>11</v>
      </c>
      <c r="C9" t="s">
        <v>10</v>
      </c>
      <c r="E9">
        <v>4</v>
      </c>
      <c r="F9">
        <v>1.9</v>
      </c>
      <c r="G9">
        <f t="shared" si="0"/>
        <v>7.6</v>
      </c>
      <c r="H9" s="9" t="s">
        <v>43</v>
      </c>
    </row>
    <row r="10" spans="1:9" x14ac:dyDescent="0.3">
      <c r="A10" s="10" t="s">
        <v>49</v>
      </c>
      <c r="B10" s="10" t="s">
        <v>11</v>
      </c>
      <c r="C10" t="s">
        <v>35</v>
      </c>
      <c r="E10">
        <v>1</v>
      </c>
      <c r="F10">
        <v>16</v>
      </c>
      <c r="G10">
        <f t="shared" si="0"/>
        <v>16</v>
      </c>
      <c r="H10" s="9" t="s">
        <v>44</v>
      </c>
    </row>
    <row r="11" spans="1:9" x14ac:dyDescent="0.3">
      <c r="A11" s="10" t="s">
        <v>49</v>
      </c>
      <c r="B11" s="10" t="s">
        <v>11</v>
      </c>
      <c r="C11" t="s">
        <v>17</v>
      </c>
      <c r="E11">
        <v>2</v>
      </c>
      <c r="F11">
        <v>1.9</v>
      </c>
      <c r="G11">
        <f t="shared" si="0"/>
        <v>3.8</v>
      </c>
      <c r="H11" s="9" t="s">
        <v>45</v>
      </c>
    </row>
    <row r="12" spans="1:9" x14ac:dyDescent="0.3">
      <c r="A12" s="10" t="s">
        <v>49</v>
      </c>
      <c r="B12" s="10" t="s">
        <v>11</v>
      </c>
      <c r="C12" s="4" t="s">
        <v>15</v>
      </c>
      <c r="E12">
        <v>1</v>
      </c>
      <c r="F12">
        <v>1.4</v>
      </c>
      <c r="G12">
        <f>E12*F12</f>
        <v>1.4</v>
      </c>
      <c r="H12" s="9" t="s">
        <v>46</v>
      </c>
    </row>
    <row r="13" spans="1:9" x14ac:dyDescent="0.3">
      <c r="A13" s="10" t="s">
        <v>49</v>
      </c>
      <c r="B13" s="10" t="s">
        <v>3</v>
      </c>
      <c r="C13" s="8" t="s">
        <v>33</v>
      </c>
      <c r="E13">
        <v>1</v>
      </c>
      <c r="F13">
        <v>10</v>
      </c>
      <c r="G13">
        <f t="shared" si="0"/>
        <v>10</v>
      </c>
      <c r="H13" t="s">
        <v>34</v>
      </c>
    </row>
    <row r="14" spans="1:9" x14ac:dyDescent="0.3">
      <c r="A14" s="10" t="s">
        <v>49</v>
      </c>
      <c r="B14" s="10" t="s">
        <v>3</v>
      </c>
      <c r="C14" t="s">
        <v>8</v>
      </c>
      <c r="E14">
        <v>1</v>
      </c>
      <c r="F14">
        <v>0.4</v>
      </c>
      <c r="G14">
        <f t="shared" si="0"/>
        <v>0.4</v>
      </c>
      <c r="H14" t="s">
        <v>26</v>
      </c>
    </row>
    <row r="15" spans="1:9" x14ac:dyDescent="0.3">
      <c r="A15" s="10" t="s">
        <v>49</v>
      </c>
      <c r="B15" s="10" t="s">
        <v>3</v>
      </c>
      <c r="C15" t="s">
        <v>9</v>
      </c>
      <c r="E15">
        <v>2</v>
      </c>
      <c r="F15">
        <v>0.68</v>
      </c>
      <c r="G15">
        <f t="shared" si="0"/>
        <v>1.36</v>
      </c>
      <c r="H15" t="s">
        <v>30</v>
      </c>
    </row>
    <row r="16" spans="1:9" x14ac:dyDescent="0.3">
      <c r="A16" s="10" t="s">
        <v>49</v>
      </c>
      <c r="B16" s="10" t="s">
        <v>3</v>
      </c>
      <c r="C16" t="s">
        <v>65</v>
      </c>
      <c r="E16">
        <v>1</v>
      </c>
      <c r="F16">
        <v>1</v>
      </c>
      <c r="G16">
        <f t="shared" si="0"/>
        <v>1</v>
      </c>
    </row>
    <row r="17" spans="1:8" x14ac:dyDescent="0.3">
      <c r="A17" s="10" t="s">
        <v>49</v>
      </c>
      <c r="B17" s="10" t="s">
        <v>3</v>
      </c>
      <c r="C17" t="s">
        <v>56</v>
      </c>
      <c r="E17">
        <v>3</v>
      </c>
      <c r="F17">
        <v>0.05</v>
      </c>
      <c r="G17">
        <f t="shared" si="0"/>
        <v>0.15000000000000002</v>
      </c>
      <c r="H17" s="9" t="s">
        <v>58</v>
      </c>
    </row>
    <row r="18" spans="1:8" x14ac:dyDescent="0.3">
      <c r="A18" s="10" t="s">
        <v>49</v>
      </c>
      <c r="B18" s="10" t="s">
        <v>3</v>
      </c>
      <c r="C18" t="s">
        <v>55</v>
      </c>
      <c r="E18">
        <v>3</v>
      </c>
      <c r="F18">
        <v>0.05</v>
      </c>
      <c r="G18">
        <f t="shared" si="0"/>
        <v>0.15000000000000002</v>
      </c>
      <c r="H18" s="9" t="s">
        <v>58</v>
      </c>
    </row>
    <row r="19" spans="1:8" x14ac:dyDescent="0.3">
      <c r="A19" s="10" t="s">
        <v>49</v>
      </c>
      <c r="B19" s="10" t="s">
        <v>3</v>
      </c>
      <c r="C19" t="s">
        <v>54</v>
      </c>
      <c r="E19">
        <v>5</v>
      </c>
      <c r="F19">
        <v>0.05</v>
      </c>
      <c r="G19">
        <f t="shared" si="0"/>
        <v>0.25</v>
      </c>
      <c r="H19" s="9" t="s">
        <v>58</v>
      </c>
    </row>
    <row r="20" spans="1:8" x14ac:dyDescent="0.3">
      <c r="A20" s="10" t="s">
        <v>49</v>
      </c>
      <c r="B20" s="10" t="s">
        <v>3</v>
      </c>
      <c r="C20" t="s">
        <v>53</v>
      </c>
      <c r="E20">
        <v>10</v>
      </c>
      <c r="F20">
        <v>0.05</v>
      </c>
      <c r="G20">
        <f t="shared" si="0"/>
        <v>0.5</v>
      </c>
      <c r="H20" s="9" t="s">
        <v>57</v>
      </c>
    </row>
    <row r="21" spans="1:8" x14ac:dyDescent="0.3">
      <c r="A21" s="10" t="s">
        <v>49</v>
      </c>
      <c r="B21" s="10" t="s">
        <v>12</v>
      </c>
      <c r="C21" s="8" t="s">
        <v>32</v>
      </c>
      <c r="E21">
        <v>1</v>
      </c>
      <c r="F21">
        <v>0</v>
      </c>
      <c r="G21">
        <f t="shared" si="0"/>
        <v>0</v>
      </c>
      <c r="H21" t="s">
        <v>52</v>
      </c>
    </row>
    <row r="22" spans="1:8" ht="14" customHeight="1" x14ac:dyDescent="0.3">
      <c r="A22" s="10" t="s">
        <v>49</v>
      </c>
      <c r="B22" s="10" t="s">
        <v>63</v>
      </c>
      <c r="C22" s="1" t="s">
        <v>13</v>
      </c>
      <c r="D22" t="s">
        <v>20</v>
      </c>
      <c r="E22">
        <v>2</v>
      </c>
      <c r="F22">
        <v>0.22</v>
      </c>
      <c r="G22">
        <f t="shared" si="0"/>
        <v>0.44</v>
      </c>
      <c r="H22" s="11" t="s">
        <v>47</v>
      </c>
    </row>
    <row r="23" spans="1:8" x14ac:dyDescent="0.3">
      <c r="A23" s="10" t="s">
        <v>49</v>
      </c>
      <c r="B23" s="10" t="s">
        <v>63</v>
      </c>
      <c r="C23" s="2" t="s">
        <v>14</v>
      </c>
      <c r="D23" t="s">
        <v>21</v>
      </c>
      <c r="E23">
        <v>2</v>
      </c>
      <c r="F23">
        <v>0.12</v>
      </c>
      <c r="G23">
        <f t="shared" si="0"/>
        <v>0.24</v>
      </c>
      <c r="H23" s="11" t="s">
        <v>47</v>
      </c>
    </row>
    <row r="24" spans="1:8" x14ac:dyDescent="0.3">
      <c r="A24" s="10" t="s">
        <v>49</v>
      </c>
      <c r="B24" s="10" t="s">
        <v>63</v>
      </c>
      <c r="C24" s="3" t="s">
        <v>18</v>
      </c>
      <c r="D24" t="s">
        <v>22</v>
      </c>
      <c r="E24">
        <v>4</v>
      </c>
      <c r="F24">
        <v>7.0000000000000007E-2</v>
      </c>
      <c r="G24">
        <f t="shared" si="0"/>
        <v>0.28000000000000003</v>
      </c>
      <c r="H24" s="11" t="s">
        <v>47</v>
      </c>
    </row>
    <row r="25" spans="1:8" x14ac:dyDescent="0.3">
      <c r="A25" s="10" t="s">
        <v>49</v>
      </c>
      <c r="B25" s="10" t="s">
        <v>63</v>
      </c>
      <c r="C25" s="6" t="s">
        <v>19</v>
      </c>
      <c r="D25" t="s">
        <v>23</v>
      </c>
      <c r="E25">
        <v>1</v>
      </c>
      <c r="F25">
        <v>0.1</v>
      </c>
      <c r="G25">
        <f>E25*F25</f>
        <v>0.1</v>
      </c>
      <c r="H25" s="11" t="s">
        <v>47</v>
      </c>
    </row>
    <row r="26" spans="1:8" x14ac:dyDescent="0.3">
      <c r="A26" s="10" t="s">
        <v>49</v>
      </c>
      <c r="B26" s="10" t="s">
        <v>63</v>
      </c>
      <c r="C26" t="s">
        <v>66</v>
      </c>
      <c r="D26" t="s">
        <v>60</v>
      </c>
      <c r="E26">
        <v>1</v>
      </c>
      <c r="F26">
        <v>0.1</v>
      </c>
      <c r="G26">
        <f t="shared" si="0"/>
        <v>0.1</v>
      </c>
      <c r="H26" s="9" t="s">
        <v>48</v>
      </c>
    </row>
    <row r="27" spans="1:8" x14ac:dyDescent="0.3">
      <c r="A27" s="10" t="s">
        <v>49</v>
      </c>
      <c r="B27" s="10" t="s">
        <v>63</v>
      </c>
      <c r="C27" s="7" t="s">
        <v>67</v>
      </c>
      <c r="D27" t="s">
        <v>25</v>
      </c>
      <c r="E27">
        <v>6</v>
      </c>
      <c r="F27">
        <v>0.1</v>
      </c>
      <c r="G27">
        <f t="shared" si="0"/>
        <v>0.60000000000000009</v>
      </c>
      <c r="H27" s="9" t="s">
        <v>68</v>
      </c>
    </row>
    <row r="28" spans="1:8" x14ac:dyDescent="0.3">
      <c r="A28" s="10" t="s">
        <v>49</v>
      </c>
      <c r="B28" s="10" t="s">
        <v>63</v>
      </c>
      <c r="C28" t="s">
        <v>69</v>
      </c>
      <c r="E28">
        <v>1</v>
      </c>
      <c r="F28">
        <v>0.06</v>
      </c>
      <c r="G28">
        <f t="shared" si="0"/>
        <v>0.06</v>
      </c>
      <c r="H28" s="9" t="s">
        <v>71</v>
      </c>
    </row>
    <row r="29" spans="1:8" x14ac:dyDescent="0.3">
      <c r="A29" s="10" t="s">
        <v>49</v>
      </c>
      <c r="B29" s="10" t="s">
        <v>63</v>
      </c>
      <c r="C29" t="s">
        <v>64</v>
      </c>
      <c r="E29">
        <v>1</v>
      </c>
      <c r="F29">
        <v>0.15</v>
      </c>
      <c r="G29">
        <f>E29*F29</f>
        <v>0.15</v>
      </c>
      <c r="H29" s="9"/>
    </row>
    <row r="30" spans="1:8" x14ac:dyDescent="0.3">
      <c r="A30" s="10" t="s">
        <v>50</v>
      </c>
      <c r="B30" s="10" t="s">
        <v>63</v>
      </c>
      <c r="C30" t="s">
        <v>61</v>
      </c>
      <c r="E30">
        <v>1</v>
      </c>
      <c r="F30">
        <v>0.02</v>
      </c>
      <c r="G30">
        <f>E30*F30</f>
        <v>0.02</v>
      </c>
      <c r="H30" s="9"/>
    </row>
    <row r="31" spans="1:8" x14ac:dyDescent="0.3">
      <c r="A31" s="10" t="s">
        <v>50</v>
      </c>
      <c r="B31" s="10" t="s">
        <v>63</v>
      </c>
      <c r="C31" t="s">
        <v>62</v>
      </c>
      <c r="E31">
        <v>1</v>
      </c>
      <c r="F31">
        <v>0.02</v>
      </c>
      <c r="G31">
        <f>E31*F31</f>
        <v>0.02</v>
      </c>
      <c r="H31" s="9"/>
    </row>
    <row r="32" spans="1:8" x14ac:dyDescent="0.3">
      <c r="A32" s="10" t="s">
        <v>50</v>
      </c>
      <c r="B32" s="10" t="s">
        <v>63</v>
      </c>
      <c r="C32" t="s">
        <v>76</v>
      </c>
      <c r="E32">
        <v>1</v>
      </c>
      <c r="F32">
        <v>5</v>
      </c>
      <c r="G32">
        <f t="shared" ref="G32:G35" si="1">E32*F32</f>
        <v>5</v>
      </c>
      <c r="H32" s="9"/>
    </row>
    <row r="33" spans="1:7" x14ac:dyDescent="0.3">
      <c r="A33" s="10" t="s">
        <v>50</v>
      </c>
      <c r="B33" s="10" t="s">
        <v>63</v>
      </c>
      <c r="C33" t="s">
        <v>73</v>
      </c>
      <c r="E33">
        <v>1</v>
      </c>
      <c r="F33">
        <v>0.05</v>
      </c>
      <c r="G33">
        <f>E33*F33</f>
        <v>0.05</v>
      </c>
    </row>
    <row r="34" spans="1:7" x14ac:dyDescent="0.3">
      <c r="A34" s="10" t="s">
        <v>50</v>
      </c>
      <c r="B34" s="10" t="s">
        <v>63</v>
      </c>
      <c r="C34" t="s">
        <v>74</v>
      </c>
      <c r="E34">
        <v>1</v>
      </c>
      <c r="F34">
        <v>0.05</v>
      </c>
      <c r="G34">
        <f t="shared" si="1"/>
        <v>0.05</v>
      </c>
    </row>
    <row r="35" spans="1:7" x14ac:dyDescent="0.3">
      <c r="A35" s="10" t="s">
        <v>50</v>
      </c>
      <c r="B35" s="10" t="s">
        <v>63</v>
      </c>
      <c r="C35" t="s">
        <v>75</v>
      </c>
      <c r="E35">
        <v>1</v>
      </c>
      <c r="F35">
        <v>0.05</v>
      </c>
      <c r="G35">
        <f t="shared" si="1"/>
        <v>0.05</v>
      </c>
    </row>
    <row r="37" spans="1:7" x14ac:dyDescent="0.3">
      <c r="F37" t="s">
        <v>59</v>
      </c>
      <c r="G37">
        <f>SUM(G2:G29)</f>
        <v>93.95</v>
      </c>
    </row>
  </sheetData>
  <phoneticPr fontId="1" type="noConversion"/>
  <dataValidations count="2">
    <dataValidation type="list" allowBlank="1" showInputMessage="1" showErrorMessage="1" sqref="B2:B1048576" xr:uid="{B10C7795-DC6D-442C-8E47-710F057FBFFE}">
      <formula1>"PCB,结构,器件,元件"</formula1>
    </dataValidation>
    <dataValidation type="list" allowBlank="1" showInputMessage="1" showErrorMessage="1" sqref="A2:A1048576" xr:uid="{E8CCBC16-6B70-4DF4-A8C0-EB2C39B61F78}">
      <formula1>"必要,可选"</formula1>
    </dataValidation>
  </dataValidations>
  <hyperlinks>
    <hyperlink ref="H2" r:id="rId1" display="https://item.taobao.com/item.htm?abbucket=20&amp;detail_redpacket_pop=true&amp;id=669443108979&amp;ltk2=1750943691516h0utfqqtda6dfpbcsd3n3&amp;ns=1&amp;priceTId=undefined&amp;query=%E6%BA%90%E5%9C%B0%E5%B7%A5%E4%BD%9C%E5%AE%A4&amp;skuId=4858077829172&amp;spm=a21n57.1.hoverItem.1&amp;utparam=%7B%22aplus_abtest%22%3A%22ed715e6d3d4816270455c5e7cef52214%22%7D&amp;xxc=taobaoSearch" xr:uid="{6A768332-7417-40F0-B3E7-677A5218CB88}"/>
    <hyperlink ref="H3" r:id="rId2" xr:uid="{C5A59AAC-8CE2-4861-87E7-036830440694}"/>
    <hyperlink ref="H4" r:id="rId3" display="https://item.taobao.com/item.htm?abbucket=20&amp;detail_redpacket_pop=true&amp;id=574575187236&amp;ltk2=1751028005018gwjf6h4gbpns4d35oyds2l&amp;ns=1&amp;priceTId=2147811517510279986216023e13e2&amp;query=mp1584&amp;skuId=4395278449498&amp;spm=a21n57.1.hoverItem.2&amp;utparam=%7B%22aplus_abtest%22%3A%229411cbe36a198c7d92939a4cee7f0f9b%22%7D&amp;xxc=taobaoSearch" xr:uid="{B8BC1C64-D385-4DB9-A5F6-08DC8A3AED00}"/>
    <hyperlink ref="H5" r:id="rId4" xr:uid="{2DEDEA89-7CD6-47B3-A252-D12FB0297FE0}"/>
    <hyperlink ref="H6" r:id="rId5" xr:uid="{0681D6AD-B41D-4D1C-AF88-7BCEBA582D40}"/>
    <hyperlink ref="H7" r:id="rId6" xr:uid="{CDB635C7-F787-4E74-A1A5-E1ABF9FA1212}"/>
    <hyperlink ref="H8" r:id="rId7" xr:uid="{504CA616-0B0F-4F34-9A0A-17F1A21C5361}"/>
    <hyperlink ref="H9" r:id="rId8" xr:uid="{97375E97-5D99-4178-9E13-17C08C6A3D43}"/>
    <hyperlink ref="H10" r:id="rId9" display="https://item.taobao.com/item.htm?detail_redpacket_pop=true&amp;id=626199425626&amp;ltk2=1751028457417x1ztygtav1rmm25zziu6b&amp;ns=1&amp;priceTId=undefined&amp;query=dc12v%E7%94%B5%E6%BA%90&amp;skuId=4610095722669&amp;spm=a21n57.1.hoverItem.13&amp;utparam=%7B%22aplus_abtest%22%3A%22dac528bd7fb814ce7404f3f0987f428f%22%7D&amp;xxc=ad_ztc" xr:uid="{EF29687A-A0BD-460A-9985-F94DDBE37F62}"/>
    <hyperlink ref="H11" r:id="rId10" display="https://item.taobao.com/item.htm?abbucket=20&amp;detail_redpacket_pop=true&amp;id=666044638506&amp;ltk2=1751028533293nsi8c17kvxj88tw35rg7q&amp;ns=1&amp;priceTId=2147811517510285227631843e13e2&amp;query=typec%E6%95%B0%E6%8D%AE%E7%BA%BF&amp;skuId=4973412491558&amp;spm=a21n57.1.hoverItem.4&amp;utparam=%7B%22aplus_abtest%22%3A%22487ff45eb499e2625ac231b54903267d%22%7D&amp;xxc=taobaoSearch" xr:uid="{8CDA6DD0-E471-4DBA-9DED-196E5C60099B}"/>
    <hyperlink ref="H12" r:id="rId11" xr:uid="{9EA6D7AA-B3B3-4F26-A76D-7663BAD9F25A}"/>
    <hyperlink ref="H22" r:id="rId12" xr:uid="{9C8DE875-D4BC-4405-BD9F-F5D8E58A3639}"/>
    <hyperlink ref="H23" r:id="rId13" xr:uid="{FCC11A7E-8EB3-4606-9082-A923E4E0ADB1}"/>
    <hyperlink ref="H24" r:id="rId14" xr:uid="{9753A416-6465-4199-BAF8-7C886B59DF00}"/>
    <hyperlink ref="H25" r:id="rId15" xr:uid="{7E976081-9487-4101-B15A-4B7579C5627A}"/>
    <hyperlink ref="H26" r:id="rId16" xr:uid="{E0B31F0A-F1B9-4730-89A1-3B551847502C}"/>
    <hyperlink ref="H20" r:id="rId17" xr:uid="{0334120C-4071-490B-9AF1-5D1578BD2CF9}"/>
    <hyperlink ref="H17" r:id="rId18" xr:uid="{12795E59-9596-424D-9E14-54631AF43C64}"/>
    <hyperlink ref="H18" r:id="rId19" xr:uid="{08C80DF0-4A98-47DA-A1E9-96858CCDB7BF}"/>
    <hyperlink ref="H19" r:id="rId20" xr:uid="{29CF3E75-4FB5-4616-9534-60B9B9107C05}"/>
    <hyperlink ref="H27" r:id="rId21" xr:uid="{2A1F9710-66AE-428F-A920-BC2E096950F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56FF17-532B-42AA-A1CD-BB3157C9ED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钢尺琴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Luo</dc:creator>
  <cp:lastModifiedBy>Jia Luo</cp:lastModifiedBy>
  <dcterms:created xsi:type="dcterms:W3CDTF">2015-06-05T18:17:20Z</dcterms:created>
  <dcterms:modified xsi:type="dcterms:W3CDTF">2026-05-11T03:06:42Z</dcterms:modified>
</cp:coreProperties>
</file>