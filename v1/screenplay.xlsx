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velop\self_playing_ruler\v1\"/>
    </mc:Choice>
  </mc:AlternateContent>
  <xr:revisionPtr revIDLastSave="0" documentId="13_ncr:1_{C7D58733-400E-4959-8603-A712DCB55CF5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封标" sheetId="4" r:id="rId1"/>
    <sheet name="完整版" sheetId="1" r:id="rId2"/>
    <sheet name="简洁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5" i="1" s="1"/>
  <c r="B6" i="1" l="1"/>
  <c r="B4" i="1"/>
  <c r="B7" i="1" s="1"/>
</calcChain>
</file>

<file path=xl/sharedStrings.xml><?xml version="1.0" encoding="utf-8"?>
<sst xmlns="http://schemas.openxmlformats.org/spreadsheetml/2006/main" count="119" uniqueCount="118">
  <si>
    <t>​​画面描述 (分镜)​​</t>
  </si>
  <si>
    <t>​​口播/字幕 (文案)​​</t>
  </si>
  <si>
    <t>​​背景音乐(BGM)/音效 (SFX)​​</t>
  </si>
  <si>
    <t>​​备注 (动作/道具/剪辑点)​​</t>
  </si>
  <si>
    <t>乐曲BGM</t>
  </si>
  <si>
    <t>频道名/LOGO展示</t>
  </si>
  <si>
    <t>TODO</t>
  </si>
  <si>
    <t>时长</t>
  </si>
  <si>
    <t>钢尺君/杯鸽等演奏片段</t>
  </si>
  <si>
    <t>演示曲目待定</t>
  </si>
  <si>
    <t>相应的画面（快放）</t>
  </si>
  <si>
    <t>原理图/pcb</t>
  </si>
  <si>
    <t>响指</t>
  </si>
  <si>
    <t>重新建模，将主板与钢尺、电机等整合在一起</t>
  </si>
  <si>
    <t>模型爆炸图</t>
  </si>
  <si>
    <t>3d打印延迟摄影</t>
  </si>
  <si>
    <t>取出模型</t>
  </si>
  <si>
    <t>组装过程特写：
以安装卡扣，拧螺丝为主</t>
  </si>
  <si>
    <t>成品展示：使用旋转展示台</t>
  </si>
  <si>
    <t>主要模块的代码展示</t>
  </si>
  <si>
    <t>笔吹奏演示</t>
  </si>
  <si>
    <t xml:space="preserve">​​时间戳 </t>
    <phoneticPr fontId="2" type="noConversion"/>
  </si>
  <si>
    <t>此前录制的慢放视频（使用类似进度条的东西，显示每部分时间占用）</t>
    <phoneticPr fontId="2" type="noConversion"/>
  </si>
  <si>
    <t>先设计一个原型机验证可行性
使用丝杆步进电机来精确控制钢尺移动
使用2个舵机分别压住钢尺与弹拨钢尺</t>
    <phoneticPr fontId="2" type="noConversion"/>
  </si>
  <si>
    <t>继承上面的图
麦克风--&gt;开发板-(usb线)-&gt;mic--&gt;电脑
                                    -&gt;midi--&gt;</t>
    <phoneticPr fontId="2" type="noConversion"/>
  </si>
  <si>
    <t>开干！！！
建模--&gt;打印--&gt;组装与连线--&gt;撸代码</t>
    <phoneticPr fontId="2" type="noConversion"/>
  </si>
  <si>
    <t>在屏幕前打一个响指，PCB出现在桌面</t>
    <phoneticPr fontId="2" type="noConversion"/>
  </si>
  <si>
    <t>按照新的设计，开干！！！</t>
    <phoneticPr fontId="2" type="noConversion"/>
  </si>
  <si>
    <t>章节</t>
    <phoneticPr fontId="2" type="noConversion"/>
  </si>
  <si>
    <t>开始弹奏后，bgm关掉
音乐一定要耳熟能详</t>
    <phoneticPr fontId="2" type="noConversion"/>
  </si>
  <si>
    <t>这个xxx midi设备就是</t>
    <phoneticPr fontId="2" type="noConversion"/>
  </si>
  <si>
    <t>拨动钢尺演奏示意</t>
    <phoneticPr fontId="2" type="noConversion"/>
  </si>
  <si>
    <t>这是管乐</t>
    <phoneticPr fontId="2" type="noConversion"/>
  </si>
  <si>
    <t>pen beats演示（两次动次打次）</t>
    <phoneticPr fontId="2" type="noConversion"/>
  </si>
  <si>
    <t>第二遍跟读：动次打次
这是打击乐</t>
    <phoneticPr fontId="2" type="noConversion"/>
  </si>
  <si>
    <t>贝斯（钢尺），长笛（笔），架子鼓（笔）</t>
    <phoneticPr fontId="2" type="noConversion"/>
  </si>
  <si>
    <t>1个钢尺琴--&gt;2个钢尺琴--&gt;3个钢尺琴</t>
    <phoneticPr fontId="2" type="noConversion"/>
  </si>
  <si>
    <t>气泡音</t>
    <phoneticPr fontId="2" type="noConversion"/>
  </si>
  <si>
    <t>片尾</t>
    <phoneticPr fontId="2" type="noConversion"/>
  </si>
  <si>
    <t>后续计划</t>
    <phoneticPr fontId="2" type="noConversion"/>
  </si>
  <si>
    <t>效果展示</t>
    <phoneticPr fontId="2" type="noConversion"/>
  </si>
  <si>
    <t>制作过程</t>
    <phoneticPr fontId="2" type="noConversion"/>
  </si>
  <si>
    <t>原型机</t>
    <phoneticPr fontId="2" type="noConversion"/>
  </si>
  <si>
    <t>引入</t>
    <phoneticPr fontId="2" type="noConversion"/>
  </si>
  <si>
    <t>LOGO</t>
    <phoneticPr fontId="2" type="noConversion"/>
  </si>
  <si>
    <t>片头</t>
    <phoneticPr fontId="2" type="noConversion"/>
  </si>
  <si>
    <t>手动演奏一个《小星星》</t>
    <phoneticPr fontId="2" type="noConversion"/>
  </si>
  <si>
    <t>开头5秒黄金时间，必须炸裂</t>
    <phoneticPr fontId="2" type="noConversion"/>
  </si>
  <si>
    <t>刚刚演奏的是小星星，不过好像听不太出来？</t>
    <phoneticPr fontId="2" type="noConversion"/>
  </si>
  <si>
    <t>成果展示，使用动态镜头视角（平移/缩放切换），演奏曲目《赛博朋克2077》，配合一些2077的特效
添加字幕：“BGM由钢尺演奏”
标题：“赛博钢尺2025”</t>
    <phoneticPr fontId="2" type="noConversion"/>
  </si>
  <si>
    <t>早年在b站看大佬用钢尺演奏太酷了！我也要！</t>
    <phoneticPr fontId="2" type="noConversion"/>
  </si>
  <si>
    <t>电视台停播图</t>
    <phoneticPr fontId="2" type="noConversion"/>
  </si>
  <si>
    <t>哔~</t>
    <phoneticPr fontId="2" type="noConversion"/>
  </si>
  <si>
    <t>哆啦A梦掏出：钢尺</t>
    <phoneticPr fontId="2" type="noConversion"/>
  </si>
  <si>
    <t>那就…上！科！技！
“自动演奏的钢尺”</t>
    <phoneticPr fontId="2" type="noConversion"/>
  </si>
  <si>
    <t>加加鸽</t>
    <phoneticPr fontId="2" type="noConversion"/>
  </si>
  <si>
    <t>手绘设计图展示
每个器件特写气泡（根据口播节奏依次出现）</t>
    <phoneticPr fontId="2" type="noConversion"/>
  </si>
  <si>
    <t>演奏《哆啦A梦》</t>
  </si>
  <si>
    <t>（华强买瓜语音）</t>
    <phoneticPr fontId="2" type="noConversion"/>
  </si>
  <si>
    <t>当前滑块特写
光驱内部结构特写</t>
    <phoneticPr fontId="2" type="noConversion"/>
  </si>
  <si>
    <t>连线图待绘制</t>
    <phoneticPr fontId="2" type="noConversion"/>
  </si>
  <si>
    <t>仿赛博朋克2077的字体：CyberRuler 2025</t>
    <phoneticPr fontId="2" type="noConversion"/>
  </si>
  <si>
    <t>封面</t>
    <phoneticPr fontId="2" type="noConversion"/>
  </si>
  <si>
    <t>钢尺琴钢尺震动的画面</t>
    <phoneticPr fontId="2" type="noConversion"/>
  </si>
  <si>
    <t>标题</t>
    <phoneticPr fontId="2" type="noConversion"/>
  </si>
  <si>
    <r>
      <t>首先想到的就是加快按压钢尺的动作，更换更快速的舵机
要压住钢尺，要有足够的下压力，并且体积不能太大
但发现不同的电机：速度快、力量大、体积小是一个</t>
    </r>
    <r>
      <rPr>
        <b/>
        <sz val="11"/>
        <color rgb="FF000000"/>
        <rFont val="微软雅黑"/>
        <family val="2"/>
        <charset val="134"/>
      </rPr>
      <t>不可能三角</t>
    </r>
    <r>
      <rPr>
        <sz val="11"/>
        <color rgb="FF000000"/>
        <rFont val="微软雅黑"/>
        <family val="2"/>
        <charset val="134"/>
      </rPr>
      <t>，最多只能取其二，其中：
sg90舵机，力量大、体积小、速度慢
foc无刷电机，速度快、体积小，力量小
3D打印机常用的42步进电机，速度快、力量大、体积大</t>
    </r>
    <phoneticPr fontId="2" type="noConversion"/>
  </si>
  <si>
    <t>拨动钢尺，用手机测量频率
频率-长度表</t>
    <phoneticPr fontId="2" type="noConversion"/>
  </si>
  <si>
    <t>麦克风--&gt;正弦信号-(fft)-&gt;频率图
频率-步进表</t>
    <phoneticPr fontId="2" type="noConversion"/>
  </si>
  <si>
    <t>演奏《卡农》
配上字幕滚动：
软件开发：加加鸽
硬件开发：加加鸽
结构建模：加加鸽
拍摄：加加鸽
配音：加加鸽
后期：加加鸽</t>
    <phoneticPr fontId="2" type="noConversion"/>
  </si>
  <si>
    <t>发现问题
优化设计</t>
    <phoneticPr fontId="2" type="noConversion"/>
  </si>
  <si>
    <t>口播出镜</t>
    <phoneticPr fontId="2" type="noConversion"/>
  </si>
  <si>
    <t>​弹钢尺的画面不变
范大将军片段</t>
    <phoneticPr fontId="2" type="noConversion"/>
  </si>
  <si>
    <t>我一个程序员，让我弹钢尺，他能弹么？弹不了！
“没那个能力知道吧”</t>
    <phoneticPr fontId="2" type="noConversion"/>
  </si>
  <si>
    <t>大舵机图片
不同的器件 + 雷达图（三个维度）动效</t>
    <phoneticPr fontId="2" type="noConversion"/>
  </si>
  <si>
    <t>另外，滑块直接套在丝杆上，阻力比较大，也会影响速度
光驱中就有导轨的，新设计加上导轨减小阻力也是很必要的</t>
    <phoneticPr fontId="2" type="noConversion"/>
  </si>
  <si>
    <t>口播出镜
慢速演奏（正常）
快速（无法压住钢尺，节奏乱掉）</t>
    <phoneticPr fontId="2" type="noConversion"/>
  </si>
  <si>
    <t>那么，拆解一下当前演奏一个音符的流程：
抬起舵机--&gt;移动钢尺--&gt;舵机按下--&gt;舵机拨动
其中舵机抬起与落下耗时最多，需要着重优化</t>
    <phoneticPr fontId="2" type="noConversion"/>
  </si>
  <si>
    <t>我：那怎么办呢？
刘华强：那，吸铁石
我：钢尺嘛，可以用电磁铁来吸住他
我：还挺牢固的</t>
    <phoneticPr fontId="2" type="noConversion"/>
  </si>
  <si>
    <t>口播出镜
《华强买瓜》——吸铁石
电磁铁吸住钢尺特写（尝试拨动，如果不行就静态展示）
solidworks中4电磁铁+钢尺模型图</t>
    <phoneticPr fontId="2" type="noConversion"/>
  </si>
  <si>
    <t>口播出镜
弹奏一个音+手机fft，浮现文字：误差xxx</t>
    <phoneticPr fontId="2" type="noConversion"/>
  </si>
  <si>
    <t>其次是音不准的问题
偏差有x.x%，如果偏差超过3%（50音分）就是明显跑调了</t>
    <phoneticPr fontId="2" type="noConversion"/>
  </si>
  <si>
    <t>此前调音是通过在桌面测试了几个长度的音高，拟合出频率-长度函数。演奏的时候通过目标频率换算出具体长度。但这样人工测量非常耗时，而且并不准确</t>
    <phoneticPr fontId="2" type="noConversion"/>
  </si>
  <si>
    <t>因此，需要添加一个麦克风，使用程序控制拨动钢尺的不同长度，对麦克风采集到的音频进行傅里叶变换，得到频率。最终就可以拟合出一个高精度的频率-步进(step)曲线</t>
    <phoneticPr fontId="2" type="noConversion"/>
  </si>
  <si>
    <t>既然为了调音增加了麦克风硬件，那为什么不物尽其用呢？
esp32s3开发板刚好有usb接口，可以集成一个usb麦克风，用来录音。</t>
    <phoneticPr fontId="2" type="noConversion"/>
  </si>
  <si>
    <t>口播出镜
麦克风--&gt;开发板-(usb线)-&gt;mic--电脑</t>
    <phoneticPr fontId="2" type="noConversion"/>
  </si>
  <si>
    <t>口播出镜
展示一个串口谱子</t>
    <phoneticPr fontId="2" type="noConversion"/>
  </si>
  <si>
    <t>主流的电子乐器都支持midi，所以决定使用usb midi，这样直接使用编曲软件存midi即可</t>
    <phoneticPr fontId="2" type="noConversion"/>
  </si>
  <si>
    <t>还有一个问题，如何存储乐谱呢？
此前用串口发送一个音符演奏一个音符，谱子格式是自定义的：
比如，("5#.", 1)：即表示高音升Sol，时长为一拍
这样，虽然调试方便，但每首歌都要一个音一个音来写，太麻烦了！！！</t>
    <phoneticPr fontId="2" type="noConversion"/>
  </si>
  <si>
    <t>最后，使用面包板，各种连线实在太乱了
移动的时候不小心还会碰掉</t>
    <phoneticPr fontId="2" type="noConversion"/>
  </si>
  <si>
    <t>开发板乱糟糟的连线
拿起连断线</t>
    <phoneticPr fontId="2" type="noConversion"/>
  </si>
  <si>
    <t>那么，应该画一个电路板，把元件整合起来</t>
    <phoneticPr fontId="2" type="noConversion"/>
  </si>
  <si>
    <t>连线图
外面一个框浮现</t>
    <phoneticPr fontId="2" type="noConversion"/>
  </si>
  <si>
    <t>演奏前：来看看效果吧！</t>
    <phoneticPr fontId="2" type="noConversion"/>
  </si>
  <si>
    <t>口播出镜
演奏《哆啦A梦》</t>
    <phoneticPr fontId="2" type="noConversion"/>
  </si>
  <si>
    <t>接下来就要注入灵魂，撸代码！！！</t>
    <phoneticPr fontId="2" type="noConversion"/>
  </si>
  <si>
    <t>王刚出菜BGM</t>
    <phoneticPr fontId="2" type="noConversion"/>
  </si>
  <si>
    <t>为了更方便复刻，就只使用成品模块</t>
    <phoneticPr fontId="2" type="noConversion"/>
  </si>
  <si>
    <t>几个焊接特写（焊接排母、安装元件）
成品效果</t>
    <phoneticPr fontId="2" type="noConversion"/>
  </si>
  <si>
    <t>何同学5G下载BGM</t>
    <phoneticPr fontId="2" type="noConversion"/>
  </si>
  <si>
    <t>方案可行！！！
不过这样的效果还差点意思，还有很多问题！</t>
    <phoneticPr fontId="2" type="noConversion"/>
  </si>
  <si>
    <t>首先就是演奏速度比较慢
慢速演奏完：这样已经是极限了
如果调快速度就变成这样了！！这限制了它演奏很多快节奏的曲目</t>
    <phoneticPr fontId="2" type="noConversion"/>
  </si>
  <si>
    <t>钢尺琴插入电源、插入数据线，按调音键调音（如果时间长就快进）
mid键盘插入数据线
打开宿主软件（先配置好，最小化），选择xxx设备
使用MIDI键盘弹奏一小段音乐《欢乐颂》</t>
    <phoneticPr fontId="2" type="noConversion"/>
  </si>
  <si>
    <t>夺舍钢尺
口播出镜
废弃的3d打印件
100多个commit屏幕滚动</t>
    <phoneticPr fontId="2" type="noConversion"/>
  </si>
  <si>
    <t>nice哥</t>
    <phoneticPr fontId="2" type="noConversion"/>
  </si>
  <si>
    <t>不同力度弹奏midi键盘演示强弱
原声--&gt;效果器（片头cyberpunk 2077 预告BGM演奏）
口播出镜</t>
    <phoneticPr fontId="2" type="noConversion"/>
  </si>
  <si>
    <t>除了最基本的演奏，由于有mic，还可以对声音进行一些处理：
比如对强弱的支持
你还可以添加一些效果器，比如给这首曲子加上过载效果
甚至于它还可以是一个麦克风</t>
    <phoneticPr fontId="2" type="noConversion"/>
  </si>
  <si>
    <t>口播出镜</t>
  </si>
  <si>
    <t>不过一只钢尺演奏难免有些单调，所以我希望在增加几个乐器</t>
    <phoneticPr fontId="2" type="noConversion"/>
  </si>
  <si>
    <t>怎么样？这个赛博钢尺琴是不是还有点意思？</t>
    <phoneticPr fontId="2" type="noConversion"/>
  </si>
  <si>
    <t>赛 博 钢 尺 琴——DIY自动演奏的钢尺</t>
    <phoneticPr fontId="2" type="noConversion"/>
  </si>
  <si>
    <t>在电脑屏幕前假装敲代码</t>
    <phoneticPr fontId="2" type="noConversion"/>
  </si>
  <si>
    <t>在写了亿~点点代码，解决了亿~点点bug之后，终于！</t>
    <phoneticPr fontId="2" type="noConversion"/>
  </si>
  <si>
    <t>王国之泪BGM</t>
    <phoneticPr fontId="2" type="noConversion"/>
  </si>
  <si>
    <t>夺舍BGM</t>
    <phoneticPr fontId="2" type="noConversion"/>
  </si>
  <si>
    <t>夺舍（使用伤心欲茄声音AI合成）：斯你麻赛，nice什么呀！修改了多少个版本才有现在的效果的呀？你是nice了，我的刻度线都磨没了，八嘎压路！
我：这不是考虑到观众老爷的观看体验，将中间的调试过程压缩了么
我：结构上迭代设计了很多版
我：代码也是改了很多次，这里有100多个commit</t>
    <phoneticPr fontId="2" type="noConversion"/>
  </si>
  <si>
    <t>钢尺作为贝斯，让它们组一个文具乐队！！！</t>
    <phoneticPr fontId="2" type="noConversion"/>
  </si>
  <si>
    <t>不过上面这些还没有实现，如果这类视频观众老爷们喜欢，点个关注！！
后续会持续更新的！！</t>
    <phoneticPr fontId="2" type="noConversion"/>
  </si>
  <si>
    <t>最后的最后，虽然只有一种乐器，也可以用多个组多声部
接下来就以一首《卡农》作为结尾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</si>
</sst>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等线"/>
    </font>
    <font>
      <sz val="11"/>
      <name val="等线"/>
      <family val="3"/>
      <charset val="134"/>
    </font>
    <font>
      <sz val="9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5" fontId="4" fillId="0" borderId="1" xfId="0" applyNumberFormat="1" applyFont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45" fontId="4" fillId="4" borderId="1" xfId="0" applyNumberFormat="1" applyFont="1" applyFill="1" applyBorder="1" applyAlignment="1">
      <alignment horizontal="left" vertical="center" wrapText="1"/>
    </xf>
    <xf numFmtId="21" fontId="4" fillId="4" borderId="1" xfId="0" applyNumberFormat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45" fontId="4" fillId="3" borderId="1" xfId="0" applyNumberFormat="1" applyFont="1" applyFill="1" applyBorder="1" applyAlignment="1">
      <alignment horizontal="left" vertical="center" wrapText="1"/>
    </xf>
    <xf numFmtId="21" fontId="4" fillId="3" borderId="1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1" fontId="4" fillId="0" borderId="2" xfId="0" applyNumberFormat="1" applyFont="1" applyBorder="1" applyAlignment="1">
      <alignment horizontal="center" vertical="center" wrapText="1"/>
    </xf>
    <xf numFmtId="21" fontId="4" fillId="0" borderId="6" xfId="0" applyNumberFormat="1" applyFont="1" applyBorder="1" applyAlignment="1">
      <alignment horizontal="center" vertical="center" wrapText="1"/>
    </xf>
    <xf numFmtId="21" fontId="4" fillId="0" borderId="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FDF2-C68F-43FE-8FE4-06F462270704}">
  <dimension ref="A1:A6"/>
  <sheetViews>
    <sheetView workbookViewId="0">
      <selection activeCell="H17" sqref="H17"/>
    </sheetView>
  </sheetViews>
  <sheetFormatPr defaultRowHeight="14"/>
  <sheetData>
    <row r="1" spans="1:1">
      <c r="A1" s="24" t="s">
        <v>62</v>
      </c>
    </row>
    <row r="2" spans="1:1">
      <c r="A2" s="1" t="s">
        <v>61</v>
      </c>
    </row>
    <row r="3" spans="1:1">
      <c r="A3" s="1" t="s">
        <v>63</v>
      </c>
    </row>
    <row r="5" spans="1:1">
      <c r="A5" s="24" t="s">
        <v>64</v>
      </c>
    </row>
    <row r="6" spans="1:1">
      <c r="A6" s="1" t="s">
        <v>109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Normal="100" workbookViewId="0">
      <selection activeCell="D9" sqref="D9"/>
    </sheetView>
  </sheetViews>
  <sheetFormatPr defaultColWidth="9.08203125" defaultRowHeight="16.5"/>
  <cols>
    <col min="1" max="2" width="8.25" style="6" customWidth="1"/>
    <col min="3" max="3" width="8.25" style="31" customWidth="1"/>
    <col min="4" max="5" width="62.83203125" style="6" customWidth="1"/>
    <col min="6" max="6" width="26.25" style="6" bestFit="1" customWidth="1"/>
    <col min="7" max="7" width="25.33203125" style="6" customWidth="1"/>
    <col min="8" max="16384" width="9.08203125" style="3"/>
  </cols>
  <sheetData>
    <row r="1" spans="1:7">
      <c r="A1" s="2" t="s">
        <v>7</v>
      </c>
      <c r="B1" s="2" t="s">
        <v>21</v>
      </c>
      <c r="C1" s="2" t="s">
        <v>28</v>
      </c>
      <c r="D1" s="2" t="s">
        <v>0</v>
      </c>
      <c r="E1" s="2" t="s">
        <v>1</v>
      </c>
      <c r="F1" s="2" t="s">
        <v>2</v>
      </c>
      <c r="G1" s="2" t="s">
        <v>3</v>
      </c>
    </row>
    <row r="2" spans="1:7" ht="66">
      <c r="A2" s="4">
        <v>1.1574074074074073E-4</v>
      </c>
      <c r="B2" s="5">
        <v>0</v>
      </c>
      <c r="C2" s="30" t="s">
        <v>45</v>
      </c>
      <c r="D2" s="6" t="s">
        <v>49</v>
      </c>
      <c r="F2" s="6" t="s">
        <v>4</v>
      </c>
      <c r="G2" s="6" t="s">
        <v>47</v>
      </c>
    </row>
    <row r="3" spans="1:7">
      <c r="A3" s="4">
        <v>5.7870370370370366E-5</v>
      </c>
      <c r="B3" s="5">
        <f>B2+A2</f>
        <v>1.1574074074074073E-4</v>
      </c>
      <c r="C3" s="30" t="s">
        <v>44</v>
      </c>
      <c r="D3" s="6" t="s">
        <v>5</v>
      </c>
      <c r="E3" s="6" t="s">
        <v>55</v>
      </c>
      <c r="F3" s="7" t="s">
        <v>6</v>
      </c>
    </row>
    <row r="4" spans="1:7">
      <c r="A4" s="4">
        <v>0</v>
      </c>
      <c r="B4" s="5">
        <f>B3+A3</f>
        <v>1.7361111111111109E-4</v>
      </c>
      <c r="C4" s="32" t="s">
        <v>43</v>
      </c>
      <c r="D4" s="6" t="s">
        <v>8</v>
      </c>
      <c r="E4" s="6" t="s">
        <v>50</v>
      </c>
    </row>
    <row r="5" spans="1:7">
      <c r="A5" s="4">
        <v>0</v>
      </c>
      <c r="B5" s="5">
        <f>B3+A3</f>
        <v>1.7361111111111109E-4</v>
      </c>
      <c r="C5" s="33"/>
      <c r="D5" s="6" t="s">
        <v>46</v>
      </c>
      <c r="E5" s="6" t="s">
        <v>48</v>
      </c>
    </row>
    <row r="6" spans="1:7">
      <c r="A6" s="4">
        <v>0</v>
      </c>
      <c r="B6" s="5">
        <f>B3+A3</f>
        <v>1.7361111111111109E-4</v>
      </c>
      <c r="C6" s="33"/>
      <c r="D6" s="6" t="s">
        <v>51</v>
      </c>
      <c r="E6" s="3"/>
      <c r="F6" s="6" t="s">
        <v>52</v>
      </c>
    </row>
    <row r="7" spans="1:7" ht="33">
      <c r="A7" s="4">
        <v>0</v>
      </c>
      <c r="B7" s="5">
        <f>B4+A4</f>
        <v>1.7361111111111109E-4</v>
      </c>
      <c r="C7" s="33"/>
      <c r="D7" s="6" t="s">
        <v>71</v>
      </c>
      <c r="E7" s="6" t="s">
        <v>72</v>
      </c>
    </row>
    <row r="8" spans="1:7" ht="33">
      <c r="A8" s="4"/>
      <c r="B8" s="5"/>
      <c r="C8" s="34"/>
      <c r="D8" s="6" t="s">
        <v>53</v>
      </c>
      <c r="E8" s="6" t="s">
        <v>54</v>
      </c>
    </row>
    <row r="9" spans="1:7" s="9" customFormat="1" ht="49.5">
      <c r="A9" s="4"/>
      <c r="B9" s="5"/>
      <c r="C9" s="32" t="s">
        <v>42</v>
      </c>
      <c r="D9" s="6" t="s">
        <v>56</v>
      </c>
      <c r="E9" s="8" t="s">
        <v>23</v>
      </c>
      <c r="F9" s="8"/>
      <c r="G9" s="8"/>
    </row>
    <row r="10" spans="1:7" s="18" customFormat="1" ht="33">
      <c r="A10" s="20"/>
      <c r="B10" s="21"/>
      <c r="C10" s="33"/>
      <c r="D10" s="17" t="s">
        <v>10</v>
      </c>
      <c r="E10" s="17" t="s">
        <v>25</v>
      </c>
      <c r="F10" s="17" t="s">
        <v>98</v>
      </c>
      <c r="G10" s="17"/>
    </row>
    <row r="11" spans="1:7" ht="33">
      <c r="A11" s="4"/>
      <c r="B11" s="5"/>
      <c r="C11" s="34"/>
      <c r="D11" s="6" t="s">
        <v>93</v>
      </c>
      <c r="E11" s="8" t="s">
        <v>92</v>
      </c>
      <c r="F11" s="10"/>
      <c r="G11" s="11" t="s">
        <v>9</v>
      </c>
    </row>
    <row r="12" spans="1:7" ht="33">
      <c r="A12" s="4"/>
      <c r="B12" s="5"/>
      <c r="C12" s="35" t="s">
        <v>69</v>
      </c>
      <c r="D12" s="6" t="s">
        <v>70</v>
      </c>
      <c r="E12" s="22" t="s">
        <v>99</v>
      </c>
      <c r="F12" s="10"/>
      <c r="G12" s="11"/>
    </row>
    <row r="13" spans="1:7" s="16" customFormat="1" ht="49.5">
      <c r="A13" s="26"/>
      <c r="B13" s="27"/>
      <c r="C13" s="37"/>
      <c r="D13" s="13" t="s">
        <v>75</v>
      </c>
      <c r="E13" s="28" t="s">
        <v>100</v>
      </c>
      <c r="F13" s="29" t="s">
        <v>57</v>
      </c>
      <c r="G13" s="14"/>
    </row>
    <row r="14" spans="1:7" s="16" customFormat="1" ht="49.5">
      <c r="A14" s="13"/>
      <c r="B14" s="13"/>
      <c r="C14" s="37"/>
      <c r="D14" s="14" t="s">
        <v>22</v>
      </c>
      <c r="E14" s="15" t="s">
        <v>76</v>
      </c>
      <c r="F14" s="14"/>
      <c r="G14" s="14"/>
    </row>
    <row r="15" spans="1:7" s="16" customFormat="1" ht="115.5">
      <c r="A15" s="13"/>
      <c r="B15" s="13"/>
      <c r="C15" s="37"/>
      <c r="D15" s="13" t="s">
        <v>73</v>
      </c>
      <c r="E15" s="13" t="s">
        <v>65</v>
      </c>
      <c r="F15" s="13"/>
      <c r="G15" s="13"/>
    </row>
    <row r="16" spans="1:7" s="16" customFormat="1" ht="66">
      <c r="A16" s="13"/>
      <c r="B16" s="13"/>
      <c r="C16" s="37"/>
      <c r="D16" s="13" t="s">
        <v>78</v>
      </c>
      <c r="E16" s="13" t="s">
        <v>77</v>
      </c>
      <c r="F16" s="13" t="s">
        <v>58</v>
      </c>
      <c r="G16" s="13"/>
    </row>
    <row r="17" spans="1:7" s="16" customFormat="1" ht="33">
      <c r="A17" s="13"/>
      <c r="B17" s="13"/>
      <c r="C17" s="37"/>
      <c r="D17" s="13" t="s">
        <v>59</v>
      </c>
      <c r="E17" s="13" t="s">
        <v>74</v>
      </c>
      <c r="F17" s="13"/>
      <c r="G17" s="13"/>
    </row>
    <row r="18" spans="1:7" ht="33">
      <c r="A18" s="4"/>
      <c r="B18" s="5"/>
      <c r="C18" s="37"/>
      <c r="D18" s="6" t="s">
        <v>79</v>
      </c>
      <c r="E18" s="12" t="s">
        <v>80</v>
      </c>
      <c r="F18" s="8"/>
      <c r="G18" s="8"/>
    </row>
    <row r="19" spans="1:7" ht="49.5">
      <c r="C19" s="37"/>
      <c r="D19" s="6" t="s">
        <v>66</v>
      </c>
      <c r="E19" s="6" t="s">
        <v>81</v>
      </c>
    </row>
    <row r="20" spans="1:7" ht="49.5">
      <c r="C20" s="37"/>
      <c r="D20" s="10" t="s">
        <v>67</v>
      </c>
      <c r="E20" s="10" t="s">
        <v>82</v>
      </c>
    </row>
    <row r="21" spans="1:7" s="19" customFormat="1" ht="33">
      <c r="A21" s="14"/>
      <c r="B21" s="14"/>
      <c r="C21" s="37"/>
      <c r="D21" s="13" t="s">
        <v>84</v>
      </c>
      <c r="E21" s="13" t="s">
        <v>83</v>
      </c>
      <c r="F21" s="14"/>
      <c r="G21" s="14"/>
    </row>
    <row r="22" spans="1:7" ht="66">
      <c r="A22" s="4"/>
      <c r="B22" s="5"/>
      <c r="C22" s="37"/>
      <c r="D22" s="6" t="s">
        <v>85</v>
      </c>
      <c r="E22" s="12" t="s">
        <v>87</v>
      </c>
      <c r="F22" s="8"/>
      <c r="G22" s="8"/>
    </row>
    <row r="23" spans="1:7" ht="49.5">
      <c r="C23" s="37"/>
      <c r="D23" s="6" t="s">
        <v>24</v>
      </c>
      <c r="E23" s="6" t="s">
        <v>86</v>
      </c>
    </row>
    <row r="24" spans="1:7" s="16" customFormat="1" ht="33">
      <c r="A24" s="26"/>
      <c r="B24" s="27"/>
      <c r="C24" s="37"/>
      <c r="D24" s="13" t="s">
        <v>89</v>
      </c>
      <c r="E24" s="28" t="s">
        <v>88</v>
      </c>
      <c r="F24" s="14"/>
      <c r="G24" s="14"/>
    </row>
    <row r="25" spans="1:7" s="16" customFormat="1" ht="33">
      <c r="A25" s="13"/>
      <c r="B25" s="13"/>
      <c r="C25" s="36"/>
      <c r="D25" s="13" t="s">
        <v>91</v>
      </c>
      <c r="E25" s="13" t="s">
        <v>90</v>
      </c>
      <c r="F25" s="13"/>
      <c r="G25" s="23" t="s">
        <v>60</v>
      </c>
    </row>
    <row r="26" spans="1:7">
      <c r="C26" s="35" t="s">
        <v>41</v>
      </c>
      <c r="D26" s="6" t="s">
        <v>70</v>
      </c>
      <c r="E26" s="6" t="s">
        <v>27</v>
      </c>
    </row>
    <row r="27" spans="1:7">
      <c r="C27" s="37"/>
      <c r="D27" s="6" t="s">
        <v>11</v>
      </c>
      <c r="E27" s="6" t="s">
        <v>96</v>
      </c>
    </row>
    <row r="28" spans="1:7">
      <c r="C28" s="37"/>
      <c r="D28" s="6" t="s">
        <v>26</v>
      </c>
      <c r="F28" s="6" t="s">
        <v>12</v>
      </c>
    </row>
    <row r="29" spans="1:7" ht="33">
      <c r="C29" s="37"/>
      <c r="D29" s="6" t="s">
        <v>97</v>
      </c>
      <c r="F29" s="7"/>
    </row>
    <row r="30" spans="1:7">
      <c r="C30" s="37"/>
      <c r="D30" s="6" t="s">
        <v>14</v>
      </c>
      <c r="E30" s="6" t="s">
        <v>13</v>
      </c>
      <c r="F30" s="7"/>
    </row>
    <row r="31" spans="1:7">
      <c r="C31" s="37"/>
      <c r="D31" s="6" t="s">
        <v>15</v>
      </c>
      <c r="F31" s="7"/>
    </row>
    <row r="32" spans="1:7">
      <c r="C32" s="37"/>
      <c r="D32" s="6" t="s">
        <v>16</v>
      </c>
      <c r="F32" s="7"/>
    </row>
    <row r="33" spans="3:7" ht="33">
      <c r="C33" s="37"/>
      <c r="D33" s="6" t="s">
        <v>17</v>
      </c>
      <c r="F33" s="7"/>
    </row>
    <row r="34" spans="3:7">
      <c r="C34" s="37"/>
      <c r="D34" s="6" t="s">
        <v>18</v>
      </c>
      <c r="F34" s="7" t="s">
        <v>95</v>
      </c>
    </row>
    <row r="35" spans="3:7">
      <c r="C35" s="37"/>
      <c r="D35" s="6" t="s">
        <v>110</v>
      </c>
      <c r="E35" s="6" t="s">
        <v>94</v>
      </c>
      <c r="F35" s="7"/>
    </row>
    <row r="36" spans="3:7">
      <c r="C36" s="36"/>
      <c r="D36" s="6" t="s">
        <v>19</v>
      </c>
      <c r="E36" s="6" t="s">
        <v>111</v>
      </c>
    </row>
    <row r="37" spans="3:7" ht="66">
      <c r="C37" s="35" t="s">
        <v>40</v>
      </c>
      <c r="D37" s="6" t="s">
        <v>101</v>
      </c>
      <c r="E37" s="6" t="s">
        <v>30</v>
      </c>
      <c r="F37" s="6" t="s">
        <v>112</v>
      </c>
      <c r="G37" s="6" t="s">
        <v>29</v>
      </c>
    </row>
    <row r="38" spans="3:7">
      <c r="C38" s="37"/>
      <c r="D38" s="6" t="s">
        <v>103</v>
      </c>
    </row>
    <row r="39" spans="3:7" ht="82.5">
      <c r="C39" s="37"/>
      <c r="D39" s="6" t="s">
        <v>102</v>
      </c>
      <c r="E39" s="6" t="s">
        <v>114</v>
      </c>
      <c r="F39" s="6" t="s">
        <v>113</v>
      </c>
      <c r="G39" s="7"/>
    </row>
    <row r="40" spans="3:7" ht="66">
      <c r="C40" s="36"/>
      <c r="D40" s="6" t="s">
        <v>104</v>
      </c>
      <c r="E40" s="6" t="s">
        <v>105</v>
      </c>
    </row>
    <row r="41" spans="3:7">
      <c r="C41" s="35" t="s">
        <v>39</v>
      </c>
      <c r="D41" s="6" t="s">
        <v>106</v>
      </c>
      <c r="E41" s="6" t="s">
        <v>108</v>
      </c>
    </row>
    <row r="42" spans="3:7">
      <c r="C42" s="37"/>
      <c r="D42" s="6" t="s">
        <v>31</v>
      </c>
      <c r="E42" s="6" t="s">
        <v>107</v>
      </c>
    </row>
    <row r="43" spans="3:7">
      <c r="C43" s="37"/>
      <c r="D43" s="6" t="s">
        <v>20</v>
      </c>
      <c r="E43" s="6" t="s">
        <v>32</v>
      </c>
    </row>
    <row r="44" spans="3:7" ht="33">
      <c r="C44" s="37"/>
      <c r="D44" s="6" t="s">
        <v>33</v>
      </c>
      <c r="E44" s="6" t="s">
        <v>34</v>
      </c>
    </row>
    <row r="45" spans="3:7">
      <c r="C45" s="36"/>
      <c r="D45" s="6" t="s">
        <v>35</v>
      </c>
      <c r="E45" s="6" t="s">
        <v>115</v>
      </c>
    </row>
    <row r="46" spans="3:7" ht="33">
      <c r="C46" s="25"/>
      <c r="E46" s="6" t="s">
        <v>116</v>
      </c>
    </row>
    <row r="47" spans="3:7" ht="33">
      <c r="C47" s="35" t="s">
        <v>38</v>
      </c>
      <c r="D47" s="6" t="s">
        <v>36</v>
      </c>
      <c r="E47" s="6" t="s">
        <v>117</v>
      </c>
      <c r="F47" s="6" t="s">
        <v>37</v>
      </c>
    </row>
    <row r="48" spans="3:7" ht="132">
      <c r="C48" s="36"/>
      <c r="D48" s="6" t="s">
        <v>68</v>
      </c>
    </row>
  </sheetData>
  <mergeCells count="7">
    <mergeCell ref="C4:C8"/>
    <mergeCell ref="C47:C48"/>
    <mergeCell ref="C37:C40"/>
    <mergeCell ref="C26:C36"/>
    <mergeCell ref="C12:C25"/>
    <mergeCell ref="C9:C11"/>
    <mergeCell ref="C41:C4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50A5-C08D-4873-BAC4-1F306BA55BCC}">
  <dimension ref="A1"/>
  <sheetViews>
    <sheetView workbookViewId="0"/>
  </sheetViews>
  <sheetFormatPr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封标</vt:lpstr>
      <vt:lpstr>完整版</vt:lpstr>
      <vt:lpstr>简洁版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Luo</dc:creator>
  <cp:lastModifiedBy>Jia Luo</cp:lastModifiedBy>
  <dcterms:created xsi:type="dcterms:W3CDTF">2015-06-02T18:17:20Z</dcterms:created>
  <dcterms:modified xsi:type="dcterms:W3CDTF">2025-08-22T07:24:15Z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95251f38eb8e4a5e87d14907551875f4</vt:lpwstr>
  </property>
</Properties>
</file>