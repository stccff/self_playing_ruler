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V\project\self_playing_ruler\v1\"/>
    </mc:Choice>
  </mc:AlternateContent>
  <xr:revisionPtr revIDLastSave="0" documentId="13_ncr:1_{50CF7EF1-ADA5-4398-9B07-23A2EF73983E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封标" sheetId="4" r:id="rId1"/>
    <sheet name="剧本" sheetId="1" r:id="rId2"/>
    <sheet name="剧本素材legacy" sheetId="7" r:id="rId3"/>
    <sheet name="素材引用" sheetId="5" r:id="rId4"/>
    <sheet name="雷达图制作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7" l="1"/>
  <c r="A3" i="1" l="1"/>
  <c r="A4" i="1" s="1"/>
  <c r="A5" i="1" s="1"/>
  <c r="A6" i="1" s="1"/>
  <c r="A7" i="1" s="1"/>
  <c r="A8" i="1" l="1"/>
  <c r="A10" i="1"/>
  <c r="A9" i="1"/>
  <c r="A12" i="1" s="1"/>
  <c r="A14" i="1" s="1"/>
  <c r="A16" i="1" s="1"/>
  <c r="A19" i="1" s="1"/>
  <c r="A22" i="1" s="1"/>
  <c r="A23" i="1" s="1"/>
  <c r="A24" i="1" s="1"/>
  <c r="A26" i="1" s="1"/>
  <c r="A27" i="1" s="1"/>
  <c r="A11" i="1" l="1"/>
  <c r="A13" i="1" s="1"/>
  <c r="A15" i="1" s="1"/>
  <c r="A17" i="1" s="1"/>
  <c r="A21" i="1" s="1"/>
  <c r="A28" i="1"/>
  <c r="A29" i="1" l="1"/>
  <c r="A30" i="1" l="1"/>
  <c r="A31" i="1" s="1"/>
  <c r="A32" i="1" s="1"/>
  <c r="A33" i="1" l="1"/>
  <c r="A34" i="1" s="1"/>
  <c r="A35" i="1" l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3" i="1" s="1"/>
  <c r="A54" i="1" l="1"/>
  <c r="A55" i="1" s="1"/>
  <c r="A56" i="1" s="1"/>
  <c r="A57" i="1" s="1"/>
  <c r="A58" i="1" s="1"/>
  <c r="A59" i="1" s="1"/>
  <c r="A60" i="1" l="1"/>
  <c r="A61" i="1" s="1"/>
</calcChain>
</file>

<file path=xl/sharedStrings.xml><?xml version="1.0" encoding="utf-8"?>
<sst xmlns="http://schemas.openxmlformats.org/spreadsheetml/2006/main" count="160" uniqueCount="149">
  <si>
    <t>​​画面描述 (分镜)​​</t>
  </si>
  <si>
    <t>​​口播/字幕 (文案)​​</t>
  </si>
  <si>
    <t>​​背景音乐(BGM)/音效 (SFX)​​</t>
  </si>
  <si>
    <t>​​备注 (动作/道具/剪辑点)​​</t>
  </si>
  <si>
    <t>时长</t>
  </si>
  <si>
    <t>模型爆炸图</t>
  </si>
  <si>
    <t>3d打印延迟摄影</t>
  </si>
  <si>
    <t>成品展示：使用旋转展示台</t>
  </si>
  <si>
    <t>主要模块的代码展示</t>
  </si>
  <si>
    <t xml:space="preserve">​​时间戳 </t>
    <phoneticPr fontId="2" type="noConversion"/>
  </si>
  <si>
    <t>章节</t>
    <phoneticPr fontId="2" type="noConversion"/>
  </si>
  <si>
    <t>开始弹奏后，bgm关掉
音乐一定要耳熟能详</t>
    <phoneticPr fontId="2" type="noConversion"/>
  </si>
  <si>
    <t>气泡音</t>
    <phoneticPr fontId="2" type="noConversion"/>
  </si>
  <si>
    <t>片尾</t>
    <phoneticPr fontId="2" type="noConversion"/>
  </si>
  <si>
    <t>后续计划</t>
    <phoneticPr fontId="2" type="noConversion"/>
  </si>
  <si>
    <t>效果展示</t>
    <phoneticPr fontId="2" type="noConversion"/>
  </si>
  <si>
    <t>制作过程</t>
    <phoneticPr fontId="2" type="noConversion"/>
  </si>
  <si>
    <t>原型机</t>
    <phoneticPr fontId="2" type="noConversion"/>
  </si>
  <si>
    <t>LOGO</t>
    <phoneticPr fontId="2" type="noConversion"/>
  </si>
  <si>
    <t>片头</t>
    <phoneticPr fontId="2" type="noConversion"/>
  </si>
  <si>
    <t>电视台停播图</t>
    <phoneticPr fontId="2" type="noConversion"/>
  </si>
  <si>
    <t>哔~</t>
    <phoneticPr fontId="2" type="noConversion"/>
  </si>
  <si>
    <t>（华强买瓜语音）</t>
    <phoneticPr fontId="2" type="noConversion"/>
  </si>
  <si>
    <t>当前滑块特写
光驱内部结构特写</t>
    <phoneticPr fontId="2" type="noConversion"/>
  </si>
  <si>
    <t>仿赛博朋克2077的字体：CyberRuler 2025</t>
    <phoneticPr fontId="2" type="noConversion"/>
  </si>
  <si>
    <t>封面</t>
    <phoneticPr fontId="2" type="noConversion"/>
  </si>
  <si>
    <t>钢尺琴钢尺震动的画面</t>
    <phoneticPr fontId="2" type="noConversion"/>
  </si>
  <si>
    <t>标题</t>
    <phoneticPr fontId="2" type="noConversion"/>
  </si>
  <si>
    <t>麦克风--&gt;正弦信号-(fft)-&gt;频率图
频率-步进表</t>
    <phoneticPr fontId="2" type="noConversion"/>
  </si>
  <si>
    <t>大舵机图片
不同的器件 + 雷达图（三个维度）动效</t>
    <phoneticPr fontId="2" type="noConversion"/>
  </si>
  <si>
    <t>王刚出菜BGM</t>
    <phoneticPr fontId="2" type="noConversion"/>
  </si>
  <si>
    <t>nice哥</t>
    <phoneticPr fontId="2" type="noConversion"/>
  </si>
  <si>
    <t>赛 博 钢 尺 琴——DIY自动演奏的钢尺</t>
    <phoneticPr fontId="2" type="noConversion"/>
  </si>
  <si>
    <t>在电脑屏幕前假装敲代码</t>
    <phoneticPr fontId="2" type="noConversion"/>
  </si>
  <si>
    <t>在写了亿~点点代码，解决了亿~点点bug之后，终于！</t>
    <phoneticPr fontId="2" type="noConversion"/>
  </si>
  <si>
    <t>王国之泪BGM</t>
    <phoneticPr fontId="2" type="noConversion"/>
  </si>
  <si>
    <t>一个转场动画</t>
    <phoneticPr fontId="2" type="noConversion"/>
  </si>
  <si>
    <t>原理图--&gt;pcb--&gt;2D渲染图</t>
    <phoneticPr fontId="2" type="noConversion"/>
  </si>
  <si>
    <t>全曲太长了，节选一部分</t>
    <phoneticPr fontId="2" type="noConversion"/>
  </si>
  <si>
    <t>成果展示，使用动态镜头视角（平移/缩放切换），演奏曲目《赛博朋克2077》，配合一些2077的特效
添加字幕：“BGM由钢尺演奏”</t>
    <phoneticPr fontId="2" type="noConversion"/>
  </si>
  <si>
    <t>《spoiler》</t>
    <phoneticPr fontId="2" type="noConversion"/>
  </si>
  <si>
    <t>10:19-10:32 https://www.bilibili.com/video/BV187411r7hp/</t>
    <phoneticPr fontId="2" type="noConversion"/>
  </si>
  <si>
    <t>几个焊接特写：焊接排母、安装元件（插入卡点）
成品效果</t>
    <phoneticPr fontId="2" type="noConversion"/>
  </si>
  <si>
    <t>组装过程特写（按照装机区的那种风格）
以安装器件，拧螺丝为主</t>
    <phoneticPr fontId="2" type="noConversion"/>
  </si>
  <si>
    <t>加加鸽</t>
    <phoneticPr fontId="2" type="noConversion"/>
  </si>
  <si>
    <r>
      <t>那，首先想到的就是：可以更换一个更快速的舵机，减少耗时
当然也可以是其他电机：但要有足够的下压力，并且体积不能太大
这就会发现：速度快、力量大、体积小是一个</t>
    </r>
    <r>
      <rPr>
        <b/>
        <sz val="11"/>
        <color rgb="FF000000"/>
        <rFont val="微软雅黑"/>
        <family val="2"/>
        <charset val="134"/>
      </rPr>
      <t>不可能三角</t>
    </r>
    <r>
      <rPr>
        <sz val="11"/>
        <color rgb="FF000000"/>
        <rFont val="微软雅黑"/>
        <family val="2"/>
        <charset val="134"/>
      </rPr>
      <t>，最多只能取其二，其中：
sg90舵机，力量大、体积小、但速度慢↓
小无刷电机，速度快、体积小，但力量小↓
3D打印机常用的42步进电机，速度快、力量大、但体积大↓</t>
    </r>
    <phoneticPr fontId="2" type="noConversion"/>
  </si>
  <si>
    <t>引子</t>
    <phoneticPr fontId="2" type="noConversion"/>
  </si>
  <si>
    <t>钢尺君</t>
    <phoneticPr fontId="2" type="noConversion"/>
  </si>
  <si>
    <t>杯鸽</t>
    <phoneticPr fontId="2" type="noConversion"/>
  </si>
  <si>
    <t>一根钢尺的艺术之旅</t>
    <phoneticPr fontId="2" type="noConversion"/>
  </si>
  <si>
    <t>序号</t>
    <phoneticPr fontId="2" type="noConversion"/>
  </si>
  <si>
    <t>up主</t>
    <phoneticPr fontId="2" type="noConversion"/>
  </si>
  <si>
    <t>作品名称</t>
    <phoneticPr fontId="2" type="noConversion"/>
  </si>
  <si>
    <t>备注</t>
    <phoneticPr fontId="2" type="noConversion"/>
  </si>
  <si>
    <t>佚名</t>
    <phoneticPr fontId="2" type="noConversion"/>
  </si>
  <si>
    <t>千本樱</t>
    <phoneticPr fontId="2" type="noConversion"/>
  </si>
  <si>
    <t>大钢尺我的家乡</t>
    <phoneticPr fontId="2" type="noConversion"/>
  </si>
  <si>
    <t>only my railgun</t>
    <phoneticPr fontId="2" type="noConversion"/>
  </si>
  <si>
    <t>取出模型--&gt;拿到工作台--&gt;掰下来 / 一个响指出现在桌面</t>
    <phoneticPr fontId="2" type="noConversion"/>
  </si>
  <si>
    <t>sg90舵机</t>
    <phoneticPr fontId="2" type="noConversion"/>
  </si>
  <si>
    <t>42步进电机</t>
    <phoneticPr fontId="2" type="noConversion"/>
  </si>
  <si>
    <t>小无刷电机</t>
    <phoneticPr fontId="2" type="noConversion"/>
  </si>
  <si>
    <t>响应快</t>
    <phoneticPr fontId="2" type="noConversion"/>
  </si>
  <si>
    <t>体积小</t>
    <phoneticPr fontId="2" type="noConversion"/>
  </si>
  <si>
    <t>扭力大</t>
    <phoneticPr fontId="2" type="noConversion"/>
  </si>
  <si>
    <t>演奏《小星星》</t>
    <phoneticPr fontId="2" type="noConversion"/>
  </si>
  <si>
    <t>过渡到:
Cyberuler 2025，添加文本特效</t>
    <phoneticPr fontId="2" type="noConversion"/>
  </si>
  <si>
    <t>演奏一个音符的慢放视频（使用类似进度条的东西，显示每部分时间占用）</t>
    <phoneticPr fontId="2" type="noConversion"/>
  </si>
  <si>
    <t>最后的最后，就以一首《卡农》二重奏作为结尾吧</t>
    <phoneticPr fontId="2" type="noConversion"/>
  </si>
  <si>
    <t>TODO：做一下视频增稳</t>
    <phoneticPr fontId="2" type="noConversion"/>
  </si>
  <si>
    <t>首先是钢尺，充当类似吉他的角色</t>
    <phoneticPr fontId="2" type="noConversion"/>
  </si>
  <si>
    <t>其次是第一支笔，充当类似长笛的角色</t>
    <phoneticPr fontId="2" type="noConversion"/>
  </si>
  <si>
    <t>pen beats演示动次打次三次（缩小并放在右下角，配架子鼓）</t>
    <phoneticPr fontId="2" type="noConversion"/>
  </si>
  <si>
    <t>拨动钢尺演奏示意（缩小并放在左下角，配吉他）</t>
    <phoneticPr fontId="2" type="noConversion"/>
  </si>
  <si>
    <t>吹笔奏演示意（缩小并放在上方，配长笛）</t>
    <phoneticPr fontId="2" type="noConversion"/>
  </si>
  <si>
    <t>第二开始遍跟读：动次打次
这是第二支笔，充当类似架子鼓的角色</t>
    <phoneticPr fontId="2" type="noConversion"/>
  </si>
  <si>
    <t>让它们组一个文具乐队！！！</t>
    <phoneticPr fontId="2" type="noConversion"/>
  </si>
  <si>
    <t>吉他（钢尺），长笛（笔），架子鼓（笔）</t>
    <phoneticPr fontId="2" type="noConversion"/>
  </si>
  <si>
    <t>加入一下飞入的音效</t>
    <phoneticPr fontId="2" type="noConversion"/>
  </si>
  <si>
    <t>TODO:文本霓虹灯特效</t>
    <phoneticPr fontId="2" type="noConversion"/>
  </si>
  <si>
    <t>搞定了硬件，接下来就要注入灵魂，撸代码！！！</t>
    <phoneticPr fontId="2" type="noConversion"/>
  </si>
  <si>
    <t>leonierX</t>
  </si>
  <si>
    <t>nokia tune (MIDI)</t>
    <phoneticPr fontId="2" type="noConversion"/>
  </si>
  <si>
    <t>最后，使用开发板+面包板飞线，实在太乱了
嗯~（表情）
需要一个新设计把他们整合起来！</t>
    <phoneticPr fontId="2" type="noConversion"/>
  </si>
  <si>
    <t>【口播】
千本樱——佚名
only my railgun——钢尺君
大东北我的家乡——杯鸽
（以相片的方式一次落下堆叠）
【口播】</t>
    <phoneticPr fontId="2" type="noConversion"/>
  </si>
  <si>
    <t>【口播】
手动演奏一个《小星星》
【口播】</t>
    <phoneticPr fontId="2" type="noConversion"/>
  </si>
  <si>
    <t>先尝试一下最简单的旋律：do do sol sol la la sol, fa fa mi mi re re do
对，就是《小星星》
【视频播放】
啊~~（捂脸），完全是不忍直视啊，这是小星星吗？要不是自己弹奏的，我都听不出来这是小星星！！！</t>
    <phoneticPr fontId="2" type="noConversion"/>
  </si>
  <si>
    <t>我：看来我是没什么音乐天赋了，我一个程序员，让我弹钢尺，我能弹么？弹不了！
范志毅：“没这个能力知道吧！”</t>
    <phoneticPr fontId="2" type="noConversion"/>
  </si>
  <si>
    <t>【口播】</t>
    <phoneticPr fontId="2" type="noConversion"/>
  </si>
  <si>
    <t>【口播】
原型机演奏《小星星》</t>
    <phoneticPr fontId="2" type="noConversion"/>
  </si>
  <si>
    <t>建模展示：钢尺+丝杆步进电机+按压舵机+拨弦舵机</t>
    <phoneticPr fontId="2" type="noConversion"/>
  </si>
  <si>
    <t>大佬演奏视频慢放
手绘设计图展示</t>
    <phoneticPr fontId="2" type="noConversion"/>
  </si>
  <si>
    <t>效果还可以，方案可行！！！
那么接下来就是优化打磨，做一个完整的“自动演奏的钢尺琴”。</t>
    <phoneticPr fontId="2" type="noConversion"/>
  </si>
  <si>
    <t>来看看效果吧！
【视频播放】</t>
    <phoneticPr fontId="2" type="noConversion"/>
  </si>
  <si>
    <t>用高速摄影机播放分析一下：
抬起舵机--&gt;移动钢尺--&gt;舵机按下--&gt;舵机拨动
这四个步骤中，按压钢尺的舵机抬起与落下耗时最多，保守估计至少也要163ms ，占了一大半的时间，因此需要着重优化</t>
    <phoneticPr fontId="2" type="noConversion"/>
  </si>
  <si>
    <t>那首先想到的就是换一个更快速的舵机或者其他电机。
但要同是满足速度快、下压力大、体积小这三个条件，还真是不好找。</t>
    <phoneticPr fontId="2" type="noConversion"/>
  </si>
  <si>
    <t>我：那怎么办呢？
【视频】刘华强：那，吸铁石
我：对呀！谁说一定要用舵机呢。钢尺嘛，可以用电磁铁来吸住它，没有机械运动，速度可以做到很快。
【视频】我：看！还挺牢固的</t>
    <phoneticPr fontId="2" type="noConversion"/>
  </si>
  <si>
    <t>【口播】（手指在脑袋边转动，表示想事情）
《华强买瓜》——吸铁石
【口播】（睁大眼睛，伸出食指）
电磁铁吸住钢尺特写</t>
    <phoneticPr fontId="2" type="noConversion"/>
  </si>
  <si>
    <t>动画展示（钢尺--&gt;四个磁铁飞入画面）</t>
    <phoneticPr fontId="2" type="noConversion"/>
  </si>
  <si>
    <t>动画展示（钢尺+磁铁--&gt;滑块+导轨飞入画面）</t>
    <phoneticPr fontId="2" type="noConversion"/>
  </si>
  <si>
    <t>优化1：速度</t>
    <phoneticPr fontId="2" type="noConversion"/>
  </si>
  <si>
    <t>优化2：音准</t>
    <phoneticPr fontId="2" type="noConversion"/>
  </si>
  <si>
    <t>优化3：乐谱</t>
    <phoneticPr fontId="2" type="noConversion"/>
  </si>
  <si>
    <t>优化4：录音</t>
    <phoneticPr fontId="2" type="noConversion"/>
  </si>
  <si>
    <t>动画展示（麦克风飞入特写）</t>
    <phoneticPr fontId="2" type="noConversion"/>
  </si>
  <si>
    <t>开发板乱糟糟的连线
人+影视飓风的扭转特效
【口播】</t>
    <phoneticPr fontId="2" type="noConversion"/>
  </si>
  <si>
    <t>拨动钢尺，用手机测量频率
频率-长度表
【口播】</t>
    <phoneticPr fontId="2" type="noConversion"/>
  </si>
  <si>
    <t>【口播】
展示一个串口谱子</t>
    <phoneticPr fontId="2" type="noConversion"/>
  </si>
  <si>
    <t>【口播】
midi图示
nokia tune播放视频
5针、usb、RTS等物理接口
麦克风--&gt;开发板-(usb线)-&gt;mic--&gt;电脑
                                    -&gt;midi--&gt;</t>
    <phoneticPr fontId="2" type="noConversion"/>
  </si>
  <si>
    <t>首先设计主板PCB，为了更方便复刻，都是使用的成品模块</t>
    <phoneticPr fontId="2" type="noConversion"/>
  </si>
  <si>
    <t>重新建模，将新的电路板与钢尺、电机等器件整合在一起</t>
    <phoneticPr fontId="2" type="noConversion"/>
  </si>
  <si>
    <t>白屏过度</t>
    <phoneticPr fontId="2" type="noConversion"/>
  </si>
  <si>
    <t>【口播】
废弃的3d打印件</t>
    <phoneticPr fontId="2" type="noConversion"/>
  </si>
  <si>
    <t>演奏《卡农》二重奏</t>
    <phoneticPr fontId="2" type="noConversion"/>
  </si>
  <si>
    <t>【口播】
手机midi键盘演示：do re mi fa。。。</t>
    <phoneticPr fontId="2" type="noConversion"/>
  </si>
  <si>
    <t>【口播】（拿着读台词）</t>
    <phoneticPr fontId="2" type="noConversion"/>
  </si>
  <si>
    <t>甚至于它还可以是一个麦克风</t>
    <phoneticPr fontId="2" type="noConversion"/>
  </si>
  <si>
    <t>【口播】
不同力度弹奏midi键盘演示强弱</t>
    <phoneticPr fontId="2" type="noConversion"/>
  </si>
  <si>
    <t>别急！
单单一只钢尺演奏难免有些单调，所以我希望再增加几个乐器</t>
    <phoneticPr fontId="2" type="noConversion"/>
  </si>
  <si>
    <t>【口播】
做出握拳加油的手势</t>
    <phoneticPr fontId="2" type="noConversion"/>
  </si>
  <si>
    <t>【口播】（说外挂时，双手比yes并弯曲）</t>
    <phoneticPr fontId="2" type="noConversion"/>
  </si>
  <si>
    <t>为了实现自动化测量频率，需要增加一个麦克风，而后使用程序控制钢尺移动，并测量钢尺在不同长度下震动的频率。
最终就可以拟合出一个高精度的频率与电机步进(step)对应曲线，来提高钢尺位置控制的精度，提高音准</t>
    <phoneticPr fontId="2" type="noConversion"/>
  </si>
  <si>
    <t>确认了上述四个优化方向，那么，开干！！！</t>
    <phoneticPr fontId="2" type="noConversion"/>
  </si>
  <si>
    <t>当然，制作过程也不是一帆风顺。
迭代了很多次，打印了这么多废弃版本，才是现在看到的样子</t>
    <phoneticPr fontId="2" type="noConversion"/>
  </si>
  <si>
    <t>【口播】
在口播画面叠加：Github主页+QQ群（左手指右上--&gt;左上）</t>
    <phoneticPr fontId="2" type="noConversion"/>
  </si>
  <si>
    <t>怎么样？这个赛博钢尺琴是不是还有点意思？（语调高昂的）
如果你对这个项目感兴趣，那就快来动手复刻一个吧，全部的软硬件资料已经上传到了我的github仓库。也可以加我的Q群来沟通交流。</t>
    <phoneticPr fontId="2" type="noConversion"/>
  </si>
  <si>
    <t>库克one more thing！</t>
    <phoneticPr fontId="2" type="noConversion"/>
  </si>
  <si>
    <t>不过上述的文具乐队还在开发中，如果这类视频观众朋友们喜欢，麻烦点个三连+关注！！
后续UP主会持续更新的！！</t>
    <phoneticPr fontId="2" type="noConversion"/>
  </si>
  <si>
    <t>但我又觉得很酷！怎么办呢？
看来只能用程序员的方式——给它加个‘外挂’了
让我来做一台能够“自动演奏的钢尺”</t>
    <phoneticPr fontId="2" type="noConversion"/>
  </si>
  <si>
    <t>首先参考大佬们演奏的动作，一只手按压并控制钢尺长度，另一只手弹拨。先手绘草图，设计了个原型机，来验证下方案的可行性</t>
    <phoneticPr fontId="2" type="noConversion"/>
  </si>
  <si>
    <t>根据草图来建模。使用丝杆步进电机来控制钢尺移动、使用一个舵机压住钢尺、另一个舵机弹拨钢尺，最后加上底座就完成啦！</t>
    <phoneticPr fontId="2" type="noConversion"/>
  </si>
  <si>
    <t>【口播】(手比1)
快速演奏（无法压住钢尺，节奏乱掉）</t>
    <phoneticPr fontId="2" type="noConversion"/>
  </si>
  <si>
    <t>第一项要优化的就是演奏速度
前面演奏小星星的速度太慢了
如果直接调快速度呢？我们来试一下
【视频播放】
直接乱掉了。弹奏小星星都这样了，要是弹个野蜂飞舞，不得冒烟了？</t>
    <phoneticPr fontId="2" type="noConversion"/>
  </si>
  <si>
    <t>另外，滑块直接套在丝杆上阻力比较大，速度快了可能会导致步进电机丢步。
参考光驱中的结构，滑块是固定在导轨上的。那么给滑块加上导轨减小阻力也是很必要的</t>
    <phoneticPr fontId="2" type="noConversion"/>
  </si>
  <si>
    <t>解决了速度问题，第2个要优化解决的就是音不准的问题
那么如何提高音准呢？
先看一下原型机的工作原理：</t>
    <phoneticPr fontId="2" type="noConversion"/>
  </si>
  <si>
    <t>【视频】在桌面拨动钢尺，测出几个基准长度的音高，而后拟合出频率-长度曲线。
【视频】演奏时，通过要演奏的音高，换算出具体的钢尺长度，而后弹奏。
但这样人工测量精度太低，会导致音不准。因此需要自动化测量提高精度。</t>
    <phoneticPr fontId="2" type="noConversion"/>
  </si>
  <si>
    <r>
      <rPr>
        <sz val="11"/>
        <rFont val="微软雅黑"/>
        <family val="2"/>
        <charset val="134"/>
      </rPr>
      <t>接下来，第3个优化点是——乐谱的记录与传输</t>
    </r>
    <r>
      <rPr>
        <sz val="11"/>
        <color rgb="FF000000"/>
        <rFont val="微软雅黑"/>
        <family val="2"/>
        <charset val="134"/>
      </rPr>
      <t xml:space="preserve">
原型机的谱子格式是自定义的：
【视频】比如，这个 ("5", 1)：其中“5”表示do、re、mi、fa、sol的Sol，1表示时长为一拍。而后，用串口发送一个音符演奏一个音符
这样，虽然设计上简单，但每首曲子都要一个音一个音来写，太麻烦了！！！</t>
    </r>
    <phoneticPr fontId="2" type="noConversion"/>
  </si>
  <si>
    <r>
      <rPr>
        <sz val="11"/>
        <color rgb="FF000000"/>
        <rFont val="MS Gothic"/>
        <family val="3"/>
        <charset val="128"/>
      </rPr>
      <t>​【口播】</t>
    </r>
    <r>
      <rPr>
        <sz val="11"/>
        <color rgb="FF000000"/>
        <rFont val="微软雅黑"/>
        <family val="2"/>
        <charset val="134"/>
      </rPr>
      <t xml:space="preserve">
范大将军片段（画中画）</t>
    </r>
    <phoneticPr fontId="2" type="noConversion"/>
  </si>
  <si>
    <t>【口播】
麦克风--&gt;开发板-(usb线)-&gt;mic--电脑</t>
    <phoneticPr fontId="2" type="noConversion"/>
  </si>
  <si>
    <t>要怎么来优化呢？哎！不知道你有没有听过一种技术叫MIDI
它即可以传输音符，又可以存储乐谱。
举个例子，功能机时代的诺基亚铃声，它就是midi，比如这个
【播放视频】
【视频】midi可以使用多种接口进行传输，比如usb接口。而esp32主控就支持usb。因此，使用usb midi就是最好的选择。</t>
    <phoneticPr fontId="2" type="noConversion"/>
  </si>
  <si>
    <t>当然，除了使用上位机直接播放MIDI文件，也可以使用midi键盘直接演奏，我们先用这个手机MIDI键盘来试一下
【视频播放】</t>
    <phoneticPr fontId="2" type="noConversion"/>
  </si>
  <si>
    <t>除了最基本的演奏，如果接上真正的midi键盘，还能够支持力度感应，你按得越重，声音就越响亮有力，就像这样：
【视频播放】</t>
    <phoneticPr fontId="2" type="noConversion"/>
  </si>
  <si>
    <r>
      <rPr>
        <sz val="11"/>
        <rFont val="微软雅黑"/>
        <family val="2"/>
        <charset val="134"/>
      </rPr>
      <t>曾几何时，钢尺演奏可是实打实的‘流量密码’。简简单单一根钢尺却能弹出世界名曲。来，大家感受一下。</t>
    </r>
    <r>
      <rPr>
        <sz val="11"/>
        <color rgb="FF000000"/>
        <rFont val="微软雅黑"/>
        <family val="2"/>
        <charset val="134"/>
      </rPr>
      <t xml:space="preserve">
【视频播放】
喔~~真是太酷了！！！我自己也想要尝试演奏一下呢！</t>
    </r>
    <phoneticPr fontId="2" type="noConversion"/>
  </si>
  <si>
    <t>既然前面增加了麦克风硬件和usb接口，那为什么不物尽其用呢？
【视频】第四个优化点就是
【视频】集成usb麦克风，连接电脑用来录音，来获得更好的录音品质。</t>
    <phoneticPr fontId="2" type="noConversion"/>
  </si>
  <si>
    <t>Unnamed没名</t>
    <phoneticPr fontId="2" type="noConversion"/>
  </si>
  <si>
    <t>没名的钢尺找音教程</t>
    <phoneticPr fontId="2" type="noConversion"/>
  </si>
  <si>
    <t>这个DRI MIDI与DIR MIC设备就是钢尺琴啦！
【视频】
【视频】
让我们用它来演奏一曲！</t>
    <phoneticPr fontId="2" type="noConversion"/>
  </si>
  <si>
    <t>spoiler（片头cyberpunk 2077 预告BGM演奏）
原声--&gt;鼓点--&gt;效果器--&gt;BGM</t>
    <phoneticPr fontId="2" type="noConversion"/>
  </si>
  <si>
    <r>
      <rPr>
        <sz val="11"/>
        <color rgb="FFFF0000"/>
        <rFont val="微软雅黑"/>
        <family val="2"/>
        <charset val="134"/>
      </rPr>
      <t>为钢尺琴插上电源线与数据线</t>
    </r>
    <r>
      <rPr>
        <sz val="11"/>
        <color rgb="FF000000"/>
        <rFont val="微软雅黑"/>
        <family val="2"/>
        <charset val="134"/>
      </rPr>
      <t xml:space="preserve">
设备管理器展示
cubase中MIDI设备
音频设备展示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</si>
</sst>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等线"/>
    </font>
    <font>
      <sz val="11"/>
      <name val="等线"/>
      <family val="3"/>
      <charset val="134"/>
    </font>
    <font>
      <sz val="9"/>
      <name val="宋体"/>
      <family val="3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name val="等线"/>
      <family val="3"/>
      <charset val="134"/>
    </font>
    <font>
      <sz val="11"/>
      <color rgb="FF000000"/>
      <name val="MS Gothic"/>
      <family val="3"/>
      <charset val="128"/>
    </font>
    <font>
      <sz val="11"/>
      <color rgb="FF000000"/>
      <name val="微软雅黑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5" fontId="4" fillId="0" borderId="1" xfId="0" applyNumberFormat="1" applyFont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5" fontId="4" fillId="4" borderId="1" xfId="0" applyNumberFormat="1" applyFont="1" applyFill="1" applyBorder="1" applyAlignment="1">
      <alignment horizontal="left" vertical="center" wrapText="1"/>
    </xf>
    <xf numFmtId="21" fontId="4" fillId="4" borderId="1" xfId="0" applyNumberFormat="1" applyFont="1" applyFill="1" applyBorder="1" applyAlignment="1">
      <alignment horizontal="left" vertical="center" wrapText="1"/>
    </xf>
    <xf numFmtId="21" fontId="4" fillId="5" borderId="1" xfId="0" applyNumberFormat="1" applyFont="1" applyFill="1" applyBorder="1" applyAlignment="1">
      <alignment horizontal="left" vertical="center" wrapText="1"/>
    </xf>
    <xf numFmtId="45" fontId="4" fillId="5" borderId="1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20" fontId="4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1" fontId="4" fillId="0" borderId="2" xfId="0" applyNumberFormat="1" applyFont="1" applyBorder="1" applyAlignment="1">
      <alignment horizontal="center" vertical="center" wrapText="1"/>
    </xf>
    <xf numFmtId="21" fontId="4" fillId="0" borderId="6" xfId="0" applyNumberFormat="1" applyFont="1" applyBorder="1" applyAlignment="1">
      <alignment horizontal="center" vertical="center" wrapText="1"/>
    </xf>
    <xf numFmtId="2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4070841380676479"/>
          <c:y val="0.16961546837213035"/>
          <c:w val="0.5827211133492034"/>
          <c:h val="0.7869142968699161"/>
        </c:manualLayout>
      </c:layout>
      <c:radarChart>
        <c:radarStyle val="marker"/>
        <c:varyColors val="0"/>
        <c:ser>
          <c:idx val="0"/>
          <c:order val="0"/>
          <c:tx>
            <c:strRef>
              <c:f>雷达图制作!$A$2</c:f>
              <c:strCache>
                <c:ptCount val="1"/>
                <c:pt idx="0">
                  <c:v>sg90舵机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雷达图制作!$B$2:$D$2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B-435F-A1A5-5285699195E0}"/>
            </c:ext>
          </c:extLst>
        </c:ser>
        <c:ser>
          <c:idx val="1"/>
          <c:order val="1"/>
          <c:tx>
            <c:strRef>
              <c:f>雷达图制作!$A$3</c:f>
              <c:strCache>
                <c:ptCount val="1"/>
                <c:pt idx="0">
                  <c:v>小无刷电机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雷达图制作!$B$3:$D$3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B-435F-A1A5-5285699195E0}"/>
            </c:ext>
          </c:extLst>
        </c:ser>
        <c:ser>
          <c:idx val="2"/>
          <c:order val="2"/>
          <c:tx>
            <c:strRef>
              <c:f>雷达图制作!$A$4</c:f>
              <c:strCache>
                <c:ptCount val="1"/>
                <c:pt idx="0">
                  <c:v>42步进电机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雷达图制作!$B$1:$D$1</c:f>
              <c:strCache>
                <c:ptCount val="3"/>
                <c:pt idx="0">
                  <c:v>响应快</c:v>
                </c:pt>
                <c:pt idx="1">
                  <c:v>体积小</c:v>
                </c:pt>
                <c:pt idx="2">
                  <c:v>扭力大</c:v>
                </c:pt>
              </c:strCache>
            </c:strRef>
          </c:cat>
          <c:val>
            <c:numRef>
              <c:f>雷达图制作!$B$4:$D$4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B-435F-A1A5-52856991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82544"/>
        <c:axId val="173883984"/>
      </c:radarChart>
      <c:catAx>
        <c:axId val="1738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883984"/>
        <c:crosses val="autoZero"/>
        <c:auto val="1"/>
        <c:lblAlgn val="ctr"/>
        <c:lblOffset val="100"/>
        <c:noMultiLvlLbl val="0"/>
      </c:catAx>
      <c:valAx>
        <c:axId val="173883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388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8782548407864111"/>
          <c:y val="3.7845705967976713E-2"/>
          <c:w val="0.38580779900267165"/>
          <c:h val="4.7691427432033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176212</xdr:colOff>
      <xdr:row>1</xdr:row>
      <xdr:rowOff>100013</xdr:rowOff>
    </xdr:from>
    <xdr:to>
      <xdr:col>25</xdr:col>
      <xdr:colOff>133349</xdr:colOff>
      <xdr:row>46</xdr:row>
      <xdr:rowOff>133350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E40572-40B7-3FA3-1CE0-D8AB9EBEB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FDF2-C68F-43FE-8FE4-06F462270704}">
  <dimension ref="A1:A8"/>
  <sheetViews>
    <sheetView workbookViewId="0">
      <selection activeCell="D12" sqref="D12"/>
    </sheetView>
  </sheetViews>
  <sheetFormatPr defaultRowHeight="14"/>
  <sheetData>
    <row r="1" spans="1:1">
      <c r="A1" s="17" t="s">
        <v>25</v>
      </c>
    </row>
    <row r="2" spans="1:1">
      <c r="A2" s="1" t="s">
        <v>24</v>
      </c>
    </row>
    <row r="3" spans="1:1">
      <c r="A3" s="1" t="s">
        <v>26</v>
      </c>
    </row>
    <row r="5" spans="1:1">
      <c r="A5" s="17" t="s">
        <v>27</v>
      </c>
    </row>
    <row r="6" spans="1:1">
      <c r="A6" s="1" t="s">
        <v>32</v>
      </c>
    </row>
    <row r="8" spans="1:1">
      <c r="A8" s="1" t="s">
        <v>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B1" zoomScaleNormal="100" workbookViewId="0">
      <pane ySplit="1" topLeftCell="A51" activePane="bottomLeft" state="frozen"/>
      <selection pane="bottomLeft" activeCell="G55" sqref="G55"/>
    </sheetView>
  </sheetViews>
  <sheetFormatPr defaultColWidth="9.08203125" defaultRowHeight="16.5"/>
  <cols>
    <col min="1" max="2" width="8.25" style="6" customWidth="1"/>
    <col min="3" max="3" width="8.25" style="21" customWidth="1"/>
    <col min="4" max="5" width="62.83203125" style="6" customWidth="1"/>
    <col min="6" max="6" width="26.25" style="6" bestFit="1" customWidth="1"/>
    <col min="7" max="7" width="25.33203125" style="6" customWidth="1"/>
    <col min="8" max="16384" width="9.08203125" style="3"/>
  </cols>
  <sheetData>
    <row r="1" spans="1:7">
      <c r="A1" s="2" t="s">
        <v>9</v>
      </c>
      <c r="B1" s="2" t="s">
        <v>4</v>
      </c>
      <c r="C1" s="2" t="s">
        <v>10</v>
      </c>
      <c r="D1" s="2" t="s">
        <v>0</v>
      </c>
      <c r="E1" s="2" t="s">
        <v>1</v>
      </c>
      <c r="F1" s="2" t="s">
        <v>2</v>
      </c>
      <c r="G1" s="2" t="s">
        <v>3</v>
      </c>
    </row>
    <row r="2" spans="1:7" ht="49.5">
      <c r="A2" s="25">
        <v>0</v>
      </c>
      <c r="B2" s="26">
        <v>1.1574074074074073E-4</v>
      </c>
      <c r="C2" s="20" t="s">
        <v>19</v>
      </c>
      <c r="D2" s="6" t="s">
        <v>39</v>
      </c>
      <c r="F2" s="6" t="s">
        <v>40</v>
      </c>
    </row>
    <row r="3" spans="1:7" ht="33">
      <c r="A3" s="25">
        <f t="shared" ref="A3:A9" si="0">A2+B2</f>
        <v>1.1574074074074073E-4</v>
      </c>
      <c r="B3" s="26">
        <v>5.7870370370370366E-5</v>
      </c>
      <c r="C3" s="20" t="s">
        <v>27</v>
      </c>
      <c r="D3" s="6" t="s">
        <v>66</v>
      </c>
      <c r="F3" s="6" t="s">
        <v>40</v>
      </c>
      <c r="G3" s="7" t="s">
        <v>79</v>
      </c>
    </row>
    <row r="4" spans="1:7" ht="99">
      <c r="A4" s="25">
        <f t="shared" si="0"/>
        <v>1.7361111111111109E-4</v>
      </c>
      <c r="B4" s="26">
        <v>1.1574074074074073E-4</v>
      </c>
      <c r="C4" s="33" t="s">
        <v>46</v>
      </c>
      <c r="D4" s="6" t="s">
        <v>84</v>
      </c>
      <c r="E4" s="37" t="s">
        <v>142</v>
      </c>
    </row>
    <row r="5" spans="1:7" ht="82.5">
      <c r="A5" s="24">
        <f t="shared" si="0"/>
        <v>2.8935185185185184E-4</v>
      </c>
      <c r="B5" s="23">
        <v>1.1574074074074073E-4</v>
      </c>
      <c r="C5" s="34"/>
      <c r="D5" s="6" t="s">
        <v>85</v>
      </c>
      <c r="E5" s="37" t="s">
        <v>86</v>
      </c>
    </row>
    <row r="6" spans="1:7">
      <c r="A6" s="25">
        <f t="shared" si="0"/>
        <v>4.0509259259259258E-4</v>
      </c>
      <c r="B6" s="26">
        <v>1.1574074074074073E-5</v>
      </c>
      <c r="C6" s="34"/>
      <c r="D6" s="6" t="s">
        <v>20</v>
      </c>
      <c r="E6" s="38"/>
      <c r="F6" s="6" t="s">
        <v>21</v>
      </c>
    </row>
    <row r="7" spans="1:7" ht="49.5">
      <c r="A7" s="24">
        <f t="shared" si="0"/>
        <v>4.1666666666666664E-4</v>
      </c>
      <c r="B7" s="23">
        <v>9.2592592592592588E-5</v>
      </c>
      <c r="C7" s="34"/>
      <c r="D7" s="22" t="s">
        <v>137</v>
      </c>
      <c r="E7" s="37" t="s">
        <v>87</v>
      </c>
    </row>
    <row r="8" spans="1:7" ht="49.5">
      <c r="A8" s="24">
        <f t="shared" si="0"/>
        <v>5.0925925925925921E-4</v>
      </c>
      <c r="B8" s="23">
        <v>4.6296296296296294E-5</v>
      </c>
      <c r="C8" s="35"/>
      <c r="D8" s="6" t="s">
        <v>120</v>
      </c>
      <c r="E8" s="37" t="s">
        <v>128</v>
      </c>
    </row>
    <row r="9" spans="1:7">
      <c r="A9" s="24">
        <f t="shared" si="0"/>
        <v>5.5555555555555556E-4</v>
      </c>
      <c r="B9" s="23">
        <v>5.7870370370370366E-5</v>
      </c>
      <c r="C9" s="20" t="s">
        <v>18</v>
      </c>
      <c r="D9" s="6" t="s">
        <v>44</v>
      </c>
      <c r="E9" s="37"/>
    </row>
    <row r="10" spans="1:7" s="9" customFormat="1" ht="33">
      <c r="A10" s="5">
        <f>A7+B7</f>
        <v>5.0925925925925921E-4</v>
      </c>
      <c r="B10" s="4">
        <v>1.3888888888888889E-4</v>
      </c>
      <c r="C10" s="33" t="s">
        <v>17</v>
      </c>
      <c r="D10" s="27" t="s">
        <v>91</v>
      </c>
      <c r="E10" s="39" t="s">
        <v>129</v>
      </c>
      <c r="F10" s="8"/>
      <c r="G10" s="7"/>
    </row>
    <row r="11" spans="1:7" s="9" customFormat="1" ht="33">
      <c r="A11" s="5">
        <f>A8+B8</f>
        <v>5.5555555555555556E-4</v>
      </c>
      <c r="B11" s="4">
        <v>1.3888888888888889E-4</v>
      </c>
      <c r="C11" s="34"/>
      <c r="D11" s="6" t="s">
        <v>90</v>
      </c>
      <c r="E11" s="39" t="s">
        <v>130</v>
      </c>
      <c r="F11" s="8" t="s">
        <v>78</v>
      </c>
      <c r="G11" s="7"/>
    </row>
    <row r="12" spans="1:7" ht="33">
      <c r="A12" s="24">
        <f>A9+B9</f>
        <v>6.134259259259259E-4</v>
      </c>
      <c r="B12" s="23">
        <v>1.3888888888888889E-4</v>
      </c>
      <c r="C12" s="34"/>
      <c r="D12" s="6" t="s">
        <v>89</v>
      </c>
      <c r="E12" s="39" t="s">
        <v>93</v>
      </c>
      <c r="F12" s="10"/>
      <c r="G12" s="11"/>
    </row>
    <row r="13" spans="1:7" ht="33">
      <c r="A13" s="5">
        <f t="shared" ref="A13:A17" si="1">A11+B11</f>
        <v>6.9444444444444447E-4</v>
      </c>
      <c r="B13" s="4">
        <v>6.9444444444444444E-5</v>
      </c>
      <c r="C13" s="35"/>
      <c r="D13" s="6" t="s">
        <v>88</v>
      </c>
      <c r="E13" s="40" t="s">
        <v>92</v>
      </c>
      <c r="F13" s="10"/>
      <c r="G13" s="11"/>
    </row>
    <row r="14" spans="1:7" s="14" customFormat="1" ht="82.5">
      <c r="A14" s="24">
        <f t="shared" si="1"/>
        <v>7.5231481481481482E-4</v>
      </c>
      <c r="B14" s="23">
        <v>1.8518518518518518E-4</v>
      </c>
      <c r="C14" s="36" t="s">
        <v>100</v>
      </c>
      <c r="D14" s="6" t="s">
        <v>131</v>
      </c>
      <c r="E14" s="41" t="s">
        <v>132</v>
      </c>
      <c r="F14" s="19" t="s">
        <v>65</v>
      </c>
      <c r="G14" s="13"/>
    </row>
    <row r="15" spans="1:7" s="14" customFormat="1" ht="66">
      <c r="A15" s="24">
        <f t="shared" si="1"/>
        <v>7.6388888888888893E-4</v>
      </c>
      <c r="B15" s="23">
        <v>2.3148148148148146E-4</v>
      </c>
      <c r="C15" s="36"/>
      <c r="D15" s="13" t="s">
        <v>67</v>
      </c>
      <c r="E15" s="42" t="s">
        <v>94</v>
      </c>
      <c r="F15" s="13"/>
      <c r="G15" s="16" t="s">
        <v>69</v>
      </c>
    </row>
    <row r="16" spans="1:7" s="14" customFormat="1" ht="33">
      <c r="A16" s="24">
        <f t="shared" si="1"/>
        <v>9.3749999999999997E-4</v>
      </c>
      <c r="B16" s="23">
        <v>3.4722222222222224E-4</v>
      </c>
      <c r="C16" s="36"/>
      <c r="D16" s="12" t="s">
        <v>29</v>
      </c>
      <c r="E16" s="37" t="s">
        <v>95</v>
      </c>
      <c r="F16" s="12"/>
      <c r="G16" s="12"/>
    </row>
    <row r="17" spans="1:7" s="14" customFormat="1" ht="82.5">
      <c r="A17" s="24">
        <f t="shared" si="1"/>
        <v>9.9537037037037042E-4</v>
      </c>
      <c r="B17" s="23">
        <v>1.1574074074074073E-4</v>
      </c>
      <c r="C17" s="36"/>
      <c r="D17" s="12" t="s">
        <v>97</v>
      </c>
      <c r="E17" s="37" t="s">
        <v>96</v>
      </c>
      <c r="F17" s="12" t="s">
        <v>22</v>
      </c>
      <c r="G17" s="12"/>
    </row>
    <row r="18" spans="1:7" s="14" customFormat="1">
      <c r="A18" s="24"/>
      <c r="B18" s="23"/>
      <c r="C18" s="36"/>
      <c r="D18" s="12" t="s">
        <v>98</v>
      </c>
      <c r="E18" s="37"/>
      <c r="F18" s="12"/>
      <c r="G18" s="12"/>
    </row>
    <row r="19" spans="1:7" s="14" customFormat="1" ht="66">
      <c r="A19" s="24">
        <f>A16+B16</f>
        <v>1.2847222222222223E-3</v>
      </c>
      <c r="B19" s="23">
        <v>9.2592592592592588E-5</v>
      </c>
      <c r="C19" s="36"/>
      <c r="D19" s="12" t="s">
        <v>23</v>
      </c>
      <c r="E19" s="37" t="s">
        <v>133</v>
      </c>
      <c r="F19" s="12"/>
      <c r="G19" s="12"/>
    </row>
    <row r="20" spans="1:7" s="14" customFormat="1">
      <c r="A20" s="24"/>
      <c r="B20" s="23"/>
      <c r="C20" s="36"/>
      <c r="D20" s="12" t="s">
        <v>99</v>
      </c>
      <c r="E20" s="41"/>
      <c r="F20" s="12"/>
      <c r="G20" s="12"/>
    </row>
    <row r="21" spans="1:7" s="14" customFormat="1">
      <c r="A21" s="5">
        <f>A17+B17</f>
        <v>1.1111111111111111E-3</v>
      </c>
      <c r="B21" s="4">
        <v>1.1574074074074073E-5</v>
      </c>
      <c r="C21" s="36"/>
      <c r="D21" s="16" t="s">
        <v>36</v>
      </c>
      <c r="E21" s="41"/>
      <c r="F21" s="12"/>
      <c r="G21" s="12"/>
    </row>
    <row r="22" spans="1:7" ht="49.5">
      <c r="A22" s="5">
        <f>A19+B19</f>
        <v>1.3773148148148149E-3</v>
      </c>
      <c r="B22" s="4">
        <v>1.1574074074074073E-4</v>
      </c>
      <c r="C22" s="36" t="s">
        <v>101</v>
      </c>
      <c r="D22" s="6" t="s">
        <v>88</v>
      </c>
      <c r="E22" s="41" t="s">
        <v>134</v>
      </c>
      <c r="F22" s="8"/>
      <c r="G22" s="8"/>
    </row>
    <row r="23" spans="1:7" ht="66">
      <c r="A23" s="24">
        <f>A22+B22</f>
        <v>1.4930555555555556E-3</v>
      </c>
      <c r="B23" s="23">
        <v>2.8935185185185189E-4</v>
      </c>
      <c r="C23" s="36"/>
      <c r="D23" s="6" t="s">
        <v>106</v>
      </c>
      <c r="E23" s="37" t="s">
        <v>135</v>
      </c>
    </row>
    <row r="24" spans="1:7" ht="82.5">
      <c r="A24" s="24">
        <f>A23+B23</f>
        <v>1.7824074074074075E-3</v>
      </c>
      <c r="B24" s="23">
        <v>2.8935185185185189E-4</v>
      </c>
      <c r="C24" s="36"/>
      <c r="D24" s="10" t="s">
        <v>28</v>
      </c>
      <c r="E24" s="43" t="s">
        <v>121</v>
      </c>
    </row>
    <row r="25" spans="1:7">
      <c r="A25" s="24"/>
      <c r="B25" s="23"/>
      <c r="C25" s="36"/>
      <c r="D25" s="10" t="s">
        <v>104</v>
      </c>
      <c r="E25" s="43"/>
    </row>
    <row r="26" spans="1:7">
      <c r="A26" s="5">
        <f>A24+B24</f>
        <v>2.0717592592592593E-3</v>
      </c>
      <c r="B26" s="4">
        <v>1.1574074074074073E-5</v>
      </c>
      <c r="C26" s="36"/>
      <c r="D26" s="11" t="s">
        <v>36</v>
      </c>
      <c r="E26" s="43"/>
    </row>
    <row r="27" spans="1:7" ht="99">
      <c r="A27" s="24">
        <f t="shared" ref="A27" si="2">A26+B26</f>
        <v>2.0833333333333333E-3</v>
      </c>
      <c r="B27" s="23">
        <v>2.3148148148148146E-4</v>
      </c>
      <c r="C27" s="36" t="s">
        <v>102</v>
      </c>
      <c r="D27" s="6" t="s">
        <v>107</v>
      </c>
      <c r="E27" s="41" t="s">
        <v>136</v>
      </c>
      <c r="F27" s="8"/>
      <c r="G27" s="8"/>
    </row>
    <row r="28" spans="1:7" ht="99">
      <c r="A28" s="24">
        <f t="shared" ref="A28:A51" si="3">A27+B27</f>
        <v>2.3148148148148147E-3</v>
      </c>
      <c r="B28" s="23">
        <v>4.6296296296296293E-4</v>
      </c>
      <c r="C28" s="36"/>
      <c r="D28" s="6" t="s">
        <v>108</v>
      </c>
      <c r="E28" s="37" t="s">
        <v>139</v>
      </c>
      <c r="G28" s="6" t="s">
        <v>41</v>
      </c>
    </row>
    <row r="29" spans="1:7">
      <c r="A29" s="5">
        <f>A28+B28</f>
        <v>2.7777777777777775E-3</v>
      </c>
      <c r="B29" s="4">
        <v>1.1574074074074073E-5</v>
      </c>
      <c r="C29" s="36"/>
      <c r="D29" s="16" t="s">
        <v>36</v>
      </c>
      <c r="E29" s="41"/>
    </row>
    <row r="30" spans="1:7" s="15" customFormat="1" ht="59.25" customHeight="1">
      <c r="A30" s="24">
        <f>A29+B29</f>
        <v>2.7893518518518515E-3</v>
      </c>
      <c r="B30" s="23">
        <v>1.7361111111111112E-4</v>
      </c>
      <c r="C30" s="36" t="s">
        <v>103</v>
      </c>
      <c r="D30" s="6" t="s">
        <v>138</v>
      </c>
      <c r="E30" s="37" t="s">
        <v>143</v>
      </c>
      <c r="F30" s="13"/>
      <c r="G30" s="13"/>
    </row>
    <row r="31" spans="1:7" s="15" customFormat="1">
      <c r="A31" s="5">
        <f>A30+B30</f>
        <v>2.9629629629629624E-3</v>
      </c>
      <c r="B31" s="4">
        <v>1.1574074074074073E-5</v>
      </c>
      <c r="C31" s="36"/>
      <c r="D31" s="16" t="s">
        <v>36</v>
      </c>
      <c r="E31" s="41"/>
      <c r="F31" s="13"/>
      <c r="G31" s="13"/>
    </row>
    <row r="32" spans="1:7" s="14" customFormat="1" ht="49.5">
      <c r="A32" s="24">
        <f>A31+B31</f>
        <v>2.9745370370370364E-3</v>
      </c>
      <c r="B32" s="23">
        <v>1.1574074074074073E-4</v>
      </c>
      <c r="C32" s="28"/>
      <c r="D32" s="6" t="s">
        <v>105</v>
      </c>
      <c r="E32" s="41" t="s">
        <v>83</v>
      </c>
      <c r="F32" s="13"/>
      <c r="G32" s="13"/>
    </row>
    <row r="33" spans="1:7">
      <c r="A33" s="5">
        <f>A32+B32</f>
        <v>3.0902777777777773E-3</v>
      </c>
      <c r="B33" s="4">
        <v>5.7870370370370366E-5</v>
      </c>
      <c r="C33" s="30" t="s">
        <v>16</v>
      </c>
      <c r="D33" s="6" t="s">
        <v>88</v>
      </c>
      <c r="E33" s="37" t="s">
        <v>122</v>
      </c>
    </row>
    <row r="34" spans="1:7">
      <c r="A34" s="25">
        <f t="shared" si="3"/>
        <v>3.1481481481481477E-3</v>
      </c>
      <c r="B34" s="26">
        <v>1.1574074074074073E-4</v>
      </c>
      <c r="C34" s="31"/>
      <c r="D34" s="6" t="s">
        <v>37</v>
      </c>
      <c r="E34" s="37" t="s">
        <v>109</v>
      </c>
    </row>
    <row r="35" spans="1:7" ht="33">
      <c r="A35" s="25">
        <f t="shared" si="3"/>
        <v>3.2638888888888887E-3</v>
      </c>
      <c r="B35" s="26">
        <v>5.7870370370370378E-4</v>
      </c>
      <c r="C35" s="31"/>
      <c r="D35" s="6" t="s">
        <v>42</v>
      </c>
      <c r="E35" s="37"/>
      <c r="F35" s="7"/>
    </row>
    <row r="36" spans="1:7">
      <c r="A36" s="25">
        <f t="shared" si="3"/>
        <v>3.8425925925925923E-3</v>
      </c>
      <c r="B36" s="26">
        <v>1.3888888888888889E-4</v>
      </c>
      <c r="C36" s="31"/>
      <c r="D36" s="6" t="s">
        <v>5</v>
      </c>
      <c r="E36" s="37" t="s">
        <v>110</v>
      </c>
      <c r="F36" s="7"/>
    </row>
    <row r="37" spans="1:7">
      <c r="A37" s="25">
        <f t="shared" si="3"/>
        <v>3.9814814814814808E-3</v>
      </c>
      <c r="B37" s="26">
        <v>5.7870370370370366E-5</v>
      </c>
      <c r="C37" s="31"/>
      <c r="D37" s="6" t="s">
        <v>6</v>
      </c>
      <c r="E37" s="37"/>
      <c r="F37" s="7"/>
    </row>
    <row r="38" spans="1:7">
      <c r="A38" s="25">
        <f t="shared" si="3"/>
        <v>4.0393518518518513E-3</v>
      </c>
      <c r="B38" s="26">
        <v>5.7870370370370366E-5</v>
      </c>
      <c r="C38" s="31"/>
      <c r="D38" s="6" t="s">
        <v>58</v>
      </c>
      <c r="E38" s="37"/>
      <c r="F38" s="7"/>
    </row>
    <row r="39" spans="1:7" ht="33">
      <c r="A39" s="25">
        <f t="shared" si="3"/>
        <v>4.0972222222222217E-3</v>
      </c>
      <c r="B39" s="26">
        <v>5.7870370370370378E-4</v>
      </c>
      <c r="C39" s="31"/>
      <c r="D39" s="6" t="s">
        <v>43</v>
      </c>
      <c r="E39" s="37"/>
      <c r="F39" s="7"/>
    </row>
    <row r="40" spans="1:7">
      <c r="A40" s="25">
        <f t="shared" si="3"/>
        <v>4.6759259259259254E-3</v>
      </c>
      <c r="B40" s="26">
        <v>5.7870370370370366E-5</v>
      </c>
      <c r="C40" s="31"/>
      <c r="D40" s="6" t="s">
        <v>7</v>
      </c>
      <c r="E40" s="37"/>
      <c r="F40" s="8" t="s">
        <v>30</v>
      </c>
    </row>
    <row r="41" spans="1:7">
      <c r="A41" s="24">
        <f t="shared" si="3"/>
        <v>4.7337962962962958E-3</v>
      </c>
      <c r="B41" s="23">
        <v>3.4722222222222222E-5</v>
      </c>
      <c r="C41" s="31"/>
      <c r="D41" s="6" t="s">
        <v>33</v>
      </c>
      <c r="E41" s="37" t="s">
        <v>80</v>
      </c>
      <c r="F41" s="7"/>
    </row>
    <row r="42" spans="1:7">
      <c r="A42" s="24">
        <f t="shared" si="3"/>
        <v>4.7685185185185183E-3</v>
      </c>
      <c r="B42" s="23">
        <v>4.6296296296296294E-5</v>
      </c>
      <c r="C42" s="32"/>
      <c r="D42" s="6" t="s">
        <v>8</v>
      </c>
      <c r="E42" s="37" t="s">
        <v>34</v>
      </c>
    </row>
    <row r="43" spans="1:7">
      <c r="A43" s="24">
        <f t="shared" si="3"/>
        <v>4.8148148148148143E-3</v>
      </c>
      <c r="B43" s="23"/>
      <c r="C43" s="18"/>
      <c r="D43" s="27" t="s">
        <v>111</v>
      </c>
      <c r="E43" s="37"/>
      <c r="F43" s="27" t="s">
        <v>35</v>
      </c>
    </row>
    <row r="44" spans="1:7" ht="66">
      <c r="A44" s="24">
        <f t="shared" si="3"/>
        <v>4.8148148148148143E-3</v>
      </c>
      <c r="B44" s="4">
        <v>4.6296296296296293E-4</v>
      </c>
      <c r="C44" s="30" t="s">
        <v>15</v>
      </c>
      <c r="D44" s="27" t="s">
        <v>148</v>
      </c>
      <c r="E44" s="37" t="s">
        <v>146</v>
      </c>
      <c r="F44" s="3"/>
      <c r="G44" s="6" t="s">
        <v>11</v>
      </c>
    </row>
    <row r="45" spans="1:7" ht="33">
      <c r="A45" s="24">
        <f t="shared" si="3"/>
        <v>5.2777777777777771E-3</v>
      </c>
      <c r="B45" s="23">
        <v>3.4722222222222224E-4</v>
      </c>
      <c r="C45" s="31"/>
      <c r="D45" s="8" t="s">
        <v>147</v>
      </c>
      <c r="E45" s="37"/>
      <c r="G45" s="7"/>
    </row>
    <row r="46" spans="1:7" ht="49.5">
      <c r="A46" s="24">
        <f t="shared" si="3"/>
        <v>5.6249999999999989E-3</v>
      </c>
      <c r="B46" s="23">
        <v>1.1574074074074073E-4</v>
      </c>
      <c r="C46" s="31"/>
      <c r="D46" s="8" t="s">
        <v>114</v>
      </c>
      <c r="E46" s="37" t="s">
        <v>140</v>
      </c>
      <c r="G46" s="7"/>
    </row>
    <row r="47" spans="1:7" ht="49.5">
      <c r="A47" s="24">
        <f t="shared" si="3"/>
        <v>5.7407407407407398E-3</v>
      </c>
      <c r="B47" s="23">
        <v>4.0509259259259258E-4</v>
      </c>
      <c r="C47" s="31"/>
      <c r="D47" s="6" t="s">
        <v>117</v>
      </c>
      <c r="E47" s="37" t="s">
        <v>141</v>
      </c>
    </row>
    <row r="48" spans="1:7">
      <c r="A48" s="24">
        <f t="shared" si="3"/>
        <v>6.1458333333333321E-3</v>
      </c>
      <c r="B48" s="23"/>
      <c r="C48" s="31"/>
      <c r="D48" s="6" t="s">
        <v>115</v>
      </c>
      <c r="E48" s="37" t="s">
        <v>116</v>
      </c>
    </row>
    <row r="49" spans="1:7">
      <c r="A49" s="24">
        <f t="shared" si="3"/>
        <v>6.1458333333333321E-3</v>
      </c>
      <c r="B49" s="23">
        <v>2.3148148148148147E-5</v>
      </c>
      <c r="C49" s="31"/>
      <c r="D49" s="6" t="s">
        <v>31</v>
      </c>
      <c r="E49" s="37"/>
    </row>
    <row r="50" spans="1:7" ht="33">
      <c r="A50" s="24">
        <f t="shared" si="3"/>
        <v>6.1689814814814802E-3</v>
      </c>
      <c r="B50" s="23">
        <v>4.0509259259259258E-4</v>
      </c>
      <c r="C50" s="32"/>
      <c r="D50" s="6" t="s">
        <v>112</v>
      </c>
      <c r="E50" s="37" t="s">
        <v>123</v>
      </c>
      <c r="G50" s="7"/>
    </row>
    <row r="51" spans="1:7" ht="49.5">
      <c r="A51" s="5">
        <f t="shared" si="3"/>
        <v>6.5740740740740725E-3</v>
      </c>
      <c r="B51" s="4">
        <v>3.4722222222222224E-4</v>
      </c>
      <c r="C51" s="30" t="s">
        <v>14</v>
      </c>
      <c r="D51" s="6" t="s">
        <v>124</v>
      </c>
      <c r="E51" s="37" t="s">
        <v>125</v>
      </c>
    </row>
    <row r="52" spans="1:7">
      <c r="A52" s="5"/>
      <c r="B52" s="4"/>
      <c r="C52" s="31"/>
      <c r="D52" s="27" t="s">
        <v>126</v>
      </c>
      <c r="E52" s="37"/>
    </row>
    <row r="53" spans="1:7" ht="33">
      <c r="A53" s="5">
        <f>A51+B51</f>
        <v>6.9212962962962943E-3</v>
      </c>
      <c r="B53" s="4">
        <v>1.1574074074074073E-4</v>
      </c>
      <c r="C53" s="31"/>
      <c r="D53" s="6" t="s">
        <v>88</v>
      </c>
      <c r="E53" s="37" t="s">
        <v>118</v>
      </c>
    </row>
    <row r="54" spans="1:7">
      <c r="A54" s="24">
        <f t="shared" ref="A54:A61" si="4">A53+B53</f>
        <v>7.0370370370370352E-3</v>
      </c>
      <c r="B54" s="23">
        <v>4.6296296296296294E-5</v>
      </c>
      <c r="C54" s="31"/>
      <c r="D54" s="6" t="s">
        <v>73</v>
      </c>
      <c r="E54" s="37" t="s">
        <v>70</v>
      </c>
    </row>
    <row r="55" spans="1:7">
      <c r="A55" s="24">
        <f t="shared" si="4"/>
        <v>7.0833333333333312E-3</v>
      </c>
      <c r="B55" s="23">
        <v>5.7870370370370366E-5</v>
      </c>
      <c r="C55" s="31"/>
      <c r="D55" s="6" t="s">
        <v>74</v>
      </c>
      <c r="E55" s="37" t="s">
        <v>71</v>
      </c>
    </row>
    <row r="56" spans="1:7" ht="33">
      <c r="A56" s="24">
        <f t="shared" si="4"/>
        <v>7.1412037037037017E-3</v>
      </c>
      <c r="B56" s="23">
        <v>6.9444444444444444E-5</v>
      </c>
      <c r="C56" s="31"/>
      <c r="D56" s="6" t="s">
        <v>72</v>
      </c>
      <c r="E56" s="37" t="s">
        <v>75</v>
      </c>
    </row>
    <row r="57" spans="1:7">
      <c r="A57" s="24">
        <f t="shared" si="4"/>
        <v>7.2106481481481457E-3</v>
      </c>
      <c r="B57" s="23">
        <v>6.9444444444444444E-5</v>
      </c>
      <c r="C57" s="32"/>
      <c r="D57" s="6" t="s">
        <v>77</v>
      </c>
      <c r="E57" s="37" t="s">
        <v>76</v>
      </c>
    </row>
    <row r="58" spans="1:7" ht="49.5">
      <c r="A58" s="5">
        <f t="shared" si="4"/>
        <v>7.2800925925925897E-3</v>
      </c>
      <c r="B58" s="4">
        <v>1.1574074074074073E-4</v>
      </c>
      <c r="C58" s="18"/>
      <c r="D58" s="6" t="s">
        <v>119</v>
      </c>
      <c r="E58" s="37" t="s">
        <v>127</v>
      </c>
    </row>
    <row r="59" spans="1:7">
      <c r="A59" s="5">
        <f t="shared" si="4"/>
        <v>7.3958333333333307E-3</v>
      </c>
      <c r="B59" s="4">
        <v>1.1574074074074073E-4</v>
      </c>
      <c r="C59" s="30" t="s">
        <v>13</v>
      </c>
      <c r="D59" s="6" t="s">
        <v>88</v>
      </c>
      <c r="E59" s="37" t="s">
        <v>68</v>
      </c>
      <c r="F59" s="6" t="s">
        <v>12</v>
      </c>
    </row>
    <row r="60" spans="1:7">
      <c r="A60" s="5">
        <f t="shared" si="4"/>
        <v>7.5115740740740716E-3</v>
      </c>
      <c r="B60" s="4">
        <v>1.5046296296296294E-3</v>
      </c>
      <c r="C60" s="31"/>
      <c r="D60" s="6" t="s">
        <v>113</v>
      </c>
      <c r="G60" s="6" t="s">
        <v>38</v>
      </c>
    </row>
    <row r="61" spans="1:7">
      <c r="A61" s="5">
        <f t="shared" si="4"/>
        <v>9.0162037037037016E-3</v>
      </c>
      <c r="B61" s="29">
        <v>2.0833333333333333E-3</v>
      </c>
      <c r="C61" s="32"/>
      <c r="D61" s="6" t="s">
        <v>18</v>
      </c>
    </row>
  </sheetData>
  <mergeCells count="10">
    <mergeCell ref="C59:C61"/>
    <mergeCell ref="C51:C57"/>
    <mergeCell ref="C4:C8"/>
    <mergeCell ref="C33:C42"/>
    <mergeCell ref="C10:C13"/>
    <mergeCell ref="C14:C21"/>
    <mergeCell ref="C22:C26"/>
    <mergeCell ref="C27:C29"/>
    <mergeCell ref="C30:C31"/>
    <mergeCell ref="C44:C5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4DAA-2E56-4B7D-A05C-4806FDF0CFBA}">
  <dimension ref="A1:G1"/>
  <sheetViews>
    <sheetView workbookViewId="0">
      <selection activeCell="E9" sqref="E9"/>
    </sheetView>
  </sheetViews>
  <sheetFormatPr defaultRowHeight="14"/>
  <cols>
    <col min="1" max="1" width="12.83203125" customWidth="1"/>
    <col min="4" max="4" width="25.6640625" customWidth="1"/>
    <col min="5" max="5" width="73.6640625" customWidth="1"/>
    <col min="6" max="11" width="67.1640625" customWidth="1"/>
  </cols>
  <sheetData>
    <row r="1" spans="1:7" s="14" customFormat="1" ht="99">
      <c r="A1" s="24" t="e">
        <f t="shared" ref="A1" si="0">#REF!+#REF!</f>
        <v>#REF!</v>
      </c>
      <c r="B1" s="23">
        <v>3.4722222222222224E-4</v>
      </c>
      <c r="C1"/>
      <c r="D1" s="12" t="s">
        <v>29</v>
      </c>
      <c r="E1" s="12" t="s">
        <v>45</v>
      </c>
      <c r="F1" s="12"/>
      <c r="G1" s="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5715-BEED-42F5-8F10-9FEA1FF7F5C3}">
  <dimension ref="A1:D6"/>
  <sheetViews>
    <sheetView workbookViewId="0">
      <selection activeCell="H14" sqref="H14"/>
    </sheetView>
  </sheetViews>
  <sheetFormatPr defaultRowHeight="14"/>
  <cols>
    <col min="1" max="1" width="4.83203125" bestFit="1" customWidth="1"/>
    <col min="2" max="2" width="12.75" bestFit="1" customWidth="1"/>
    <col min="3" max="3" width="18.25" bestFit="1" customWidth="1"/>
  </cols>
  <sheetData>
    <row r="1" spans="1:4">
      <c r="A1" s="17" t="s">
        <v>50</v>
      </c>
      <c r="B1" s="17" t="s">
        <v>51</v>
      </c>
      <c r="C1" s="17" t="s">
        <v>52</v>
      </c>
      <c r="D1" s="17" t="s">
        <v>53</v>
      </c>
    </row>
    <row r="2" spans="1:4">
      <c r="A2">
        <v>1</v>
      </c>
      <c r="B2" s="1" t="s">
        <v>54</v>
      </c>
      <c r="C2" s="1" t="s">
        <v>55</v>
      </c>
    </row>
    <row r="3" spans="1:4">
      <c r="A3">
        <v>2</v>
      </c>
      <c r="B3" s="1" t="s">
        <v>47</v>
      </c>
      <c r="C3" s="1" t="s">
        <v>57</v>
      </c>
    </row>
    <row r="4" spans="1:4">
      <c r="A4">
        <v>3</v>
      </c>
      <c r="B4" s="1" t="s">
        <v>48</v>
      </c>
      <c r="C4" s="1" t="s">
        <v>56</v>
      </c>
    </row>
    <row r="5" spans="1:4">
      <c r="A5">
        <v>4</v>
      </c>
      <c r="B5" s="1" t="s">
        <v>144</v>
      </c>
      <c r="C5" s="1" t="s">
        <v>145</v>
      </c>
    </row>
    <row r="6" spans="1:4">
      <c r="A6">
        <v>5</v>
      </c>
      <c r="B6" t="s">
        <v>81</v>
      </c>
      <c r="C6" s="1" t="s">
        <v>82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F29C-200F-4BB5-9251-208FEB1786B7}">
  <dimension ref="A1:D4"/>
  <sheetViews>
    <sheetView zoomScaleNormal="100" workbookViewId="0">
      <selection activeCell="C16" sqref="C16"/>
    </sheetView>
  </sheetViews>
  <sheetFormatPr defaultRowHeight="14"/>
  <cols>
    <col min="1" max="1" width="10.58203125" bestFit="1" customWidth="1"/>
  </cols>
  <sheetData>
    <row r="1" spans="1:4">
      <c r="B1" s="1" t="s">
        <v>62</v>
      </c>
      <c r="C1" s="1" t="s">
        <v>63</v>
      </c>
      <c r="D1" s="1" t="s">
        <v>64</v>
      </c>
    </row>
    <row r="2" spans="1:4">
      <c r="A2" s="1" t="s">
        <v>59</v>
      </c>
      <c r="B2">
        <v>2</v>
      </c>
      <c r="C2">
        <v>10</v>
      </c>
      <c r="D2">
        <v>3</v>
      </c>
    </row>
    <row r="3" spans="1:4">
      <c r="A3" s="1" t="s">
        <v>61</v>
      </c>
      <c r="B3">
        <v>10</v>
      </c>
      <c r="C3">
        <v>6</v>
      </c>
      <c r="D3">
        <v>5</v>
      </c>
    </row>
    <row r="4" spans="1:4">
      <c r="A4" s="1" t="s">
        <v>60</v>
      </c>
      <c r="B4">
        <v>6</v>
      </c>
      <c r="C4">
        <v>1</v>
      </c>
      <c r="D4">
        <v>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封标</vt:lpstr>
      <vt:lpstr>剧本</vt:lpstr>
      <vt:lpstr>剧本素材legacy</vt:lpstr>
      <vt:lpstr>素材引用</vt:lpstr>
      <vt:lpstr>雷达图制作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Luo</dc:creator>
  <cp:lastModifiedBy>Jia Luo</cp:lastModifiedBy>
  <dcterms:created xsi:type="dcterms:W3CDTF">2015-06-02T18:17:20Z</dcterms:created>
  <dcterms:modified xsi:type="dcterms:W3CDTF">2026-04-24T08:14:30Z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95251f38eb8e4a5e87d14907551875f4</vt:lpwstr>
  </property>
</Properties>
</file>