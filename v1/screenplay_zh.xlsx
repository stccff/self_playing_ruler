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develop\my_workspace\self_playing_ruler\v1\"/>
    </mc:Choice>
  </mc:AlternateContent>
  <xr:revisionPtr revIDLastSave="0" documentId="13_ncr:1_{EE0238C7-0EA4-4C01-A9DD-ECF6E4FC5681}" xr6:coauthVersionLast="47" xr6:coauthVersionMax="47" xr10:uidLastSave="{00000000-0000-0000-0000-000000000000}"/>
  <bookViews>
    <workbookView xWindow="-98" yWindow="-98" windowWidth="21795" windowHeight="13875" activeTab="1" xr2:uid="{00000000-000D-0000-FFFF-FFFF00000000}"/>
  </bookViews>
  <sheets>
    <sheet name="封标" sheetId="4" r:id="rId1"/>
    <sheet name="剧本" sheetId="1" r:id="rId2"/>
    <sheet name="素材引用" sheetId="5" r:id="rId3"/>
    <sheet name="雷达图制作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1" i="1" l="1"/>
  <c r="A3" i="1" l="1"/>
  <c r="A4" i="1" s="1"/>
  <c r="A5" i="1" s="1"/>
  <c r="A6" i="1" s="1"/>
  <c r="A7" i="1" s="1"/>
  <c r="A8" i="1" l="1"/>
  <c r="A13" i="1" s="1"/>
  <c r="A15" i="1" s="1"/>
  <c r="A17" i="1" s="1"/>
  <c r="A19" i="1" s="1"/>
  <c r="A10" i="1"/>
  <c r="A9" i="1"/>
  <c r="A12" i="1" s="1"/>
  <c r="A14" i="1" s="1"/>
  <c r="A16" i="1" s="1"/>
  <c r="A18" i="1" s="1"/>
  <c r="A20" i="1" s="1"/>
  <c r="A21" i="1" s="1"/>
  <c r="A22" i="1" s="1"/>
  <c r="A23" i="1" s="1"/>
  <c r="A24" i="1" s="1"/>
  <c r="A25" i="1" l="1"/>
  <c r="A26" i="1" l="1"/>
  <c r="A27" i="1" l="1"/>
  <c r="A28" i="1" s="1"/>
  <c r="A29" i="1" s="1"/>
  <c r="A30" i="1" l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</calcChain>
</file>

<file path=xl/sharedStrings.xml><?xml version="1.0" encoding="utf-8"?>
<sst xmlns="http://schemas.openxmlformats.org/spreadsheetml/2006/main" count="147" uniqueCount="138">
  <si>
    <t>​​画面描述 (分镜)​​</t>
  </si>
  <si>
    <t>​​口播/字幕 (文案)​​</t>
  </si>
  <si>
    <t>​​背景音乐(BGM)/音效 (SFX)​​</t>
  </si>
  <si>
    <t>​​备注 (动作/道具/剪辑点)​​</t>
  </si>
  <si>
    <t>时长</t>
  </si>
  <si>
    <t>响指</t>
  </si>
  <si>
    <t>模型爆炸图</t>
  </si>
  <si>
    <t>3d打印延迟摄影</t>
  </si>
  <si>
    <t>成品展示：使用旋转展示台</t>
  </si>
  <si>
    <t>主要模块的代码展示</t>
  </si>
  <si>
    <t xml:space="preserve">​​时间戳 </t>
    <phoneticPr fontId="2" type="noConversion"/>
  </si>
  <si>
    <t>在屏幕前打一个响指，PCB出现在桌面</t>
    <phoneticPr fontId="2" type="noConversion"/>
  </si>
  <si>
    <t>章节</t>
    <phoneticPr fontId="2" type="noConversion"/>
  </si>
  <si>
    <t>开始弹奏后，bgm关掉
音乐一定要耳熟能详</t>
    <phoneticPr fontId="2" type="noConversion"/>
  </si>
  <si>
    <t>这个xxx midi设备就是</t>
    <phoneticPr fontId="2" type="noConversion"/>
  </si>
  <si>
    <t>气泡音</t>
    <phoneticPr fontId="2" type="noConversion"/>
  </si>
  <si>
    <t>片尾</t>
    <phoneticPr fontId="2" type="noConversion"/>
  </si>
  <si>
    <t>后续计划</t>
    <phoneticPr fontId="2" type="noConversion"/>
  </si>
  <si>
    <t>效果展示</t>
    <phoneticPr fontId="2" type="noConversion"/>
  </si>
  <si>
    <t>制作过程</t>
    <phoneticPr fontId="2" type="noConversion"/>
  </si>
  <si>
    <t>原型机</t>
    <phoneticPr fontId="2" type="noConversion"/>
  </si>
  <si>
    <t>LOGO</t>
    <phoneticPr fontId="2" type="noConversion"/>
  </si>
  <si>
    <t>片头</t>
    <phoneticPr fontId="2" type="noConversion"/>
  </si>
  <si>
    <t>电视台停播图</t>
    <phoneticPr fontId="2" type="noConversion"/>
  </si>
  <si>
    <t>哔~</t>
    <phoneticPr fontId="2" type="noConversion"/>
  </si>
  <si>
    <t>哆啦A梦掏出：钢尺</t>
    <phoneticPr fontId="2" type="noConversion"/>
  </si>
  <si>
    <t>（华强买瓜语音）</t>
    <phoneticPr fontId="2" type="noConversion"/>
  </si>
  <si>
    <t>当前滑块特写
光驱内部结构特写</t>
    <phoneticPr fontId="2" type="noConversion"/>
  </si>
  <si>
    <t>仿赛博朋克2077的字体：CyberRuler 2025</t>
    <phoneticPr fontId="2" type="noConversion"/>
  </si>
  <si>
    <t>封面</t>
    <phoneticPr fontId="2" type="noConversion"/>
  </si>
  <si>
    <t>钢尺琴钢尺震动的画面</t>
    <phoneticPr fontId="2" type="noConversion"/>
  </si>
  <si>
    <t>标题</t>
    <phoneticPr fontId="2" type="noConversion"/>
  </si>
  <si>
    <t>拨动钢尺，用手机测量频率
频率-长度表</t>
    <phoneticPr fontId="2" type="noConversion"/>
  </si>
  <si>
    <t>麦克风--&gt;正弦信号-(fft)-&gt;频率图
频率-步进表</t>
    <phoneticPr fontId="2" type="noConversion"/>
  </si>
  <si>
    <t>演奏《卡农》
配上字幕滚动：
软件开发：加加鸽
硬件开发：加加鸽
结构建模：加加鸽
拍摄：加加鸽
配音：加加鸽
后期：加加鸽</t>
    <phoneticPr fontId="2" type="noConversion"/>
  </si>
  <si>
    <t>发现问题
优化设计</t>
    <phoneticPr fontId="2" type="noConversion"/>
  </si>
  <si>
    <t>口播出镜</t>
    <phoneticPr fontId="2" type="noConversion"/>
  </si>
  <si>
    <t>大舵机图片
不同的器件 + 雷达图（三个维度）动效</t>
    <phoneticPr fontId="2" type="noConversion"/>
  </si>
  <si>
    <t>口播出镜
展示一个串口谱子</t>
    <phoneticPr fontId="2" type="noConversion"/>
  </si>
  <si>
    <t>演奏前：来看看效果吧！</t>
    <phoneticPr fontId="2" type="noConversion"/>
  </si>
  <si>
    <t>王刚出菜BGM</t>
    <phoneticPr fontId="2" type="noConversion"/>
  </si>
  <si>
    <t>首先就是演奏速度比较慢
慢速演奏完：这样已经是极限了
如果调快速度就变成这样了！！这限制了它演奏很多快节奏的曲目</t>
    <phoneticPr fontId="2" type="noConversion"/>
  </si>
  <si>
    <t>nice哥</t>
    <phoneticPr fontId="2" type="noConversion"/>
  </si>
  <si>
    <t>除了最基本的演奏，由于有mic，还可以对声音进行一些处理：
比如对强弱的支持
你还可以添加一些效果器，比如给这首曲子加上过载效果
甚至于它还可以是一个麦克风</t>
    <phoneticPr fontId="2" type="noConversion"/>
  </si>
  <si>
    <t>口播出镜</t>
  </si>
  <si>
    <t>赛 博 钢 尺 琴——DIY自动演奏的钢尺</t>
    <phoneticPr fontId="2" type="noConversion"/>
  </si>
  <si>
    <t>在电脑屏幕前假装敲代码</t>
    <phoneticPr fontId="2" type="noConversion"/>
  </si>
  <si>
    <t>在写了亿~点点代码，解决了亿~点点bug之后，终于！</t>
    <phoneticPr fontId="2" type="noConversion"/>
  </si>
  <si>
    <t>王国之泪BGM</t>
    <phoneticPr fontId="2" type="noConversion"/>
  </si>
  <si>
    <t>一个转场动画</t>
    <phoneticPr fontId="2" type="noConversion"/>
  </si>
  <si>
    <t>原理图--&gt;pcb--&gt;2D渲染图</t>
    <phoneticPr fontId="2" type="noConversion"/>
  </si>
  <si>
    <t>感谢嘉立创免费打样，让我白嫖</t>
    <phoneticPr fontId="2" type="noConversion"/>
  </si>
  <si>
    <t>结束</t>
    <phoneticPr fontId="2" type="noConversion"/>
  </si>
  <si>
    <t>不过上面的文具乐队还没有实现，如果这类视频观众老爷们喜欢，点个关注！！
后续UP主会持续更新的！！</t>
    <phoneticPr fontId="2" type="noConversion"/>
  </si>
  <si>
    <t>全曲太长了，节选一部分</t>
    <phoneticPr fontId="2" type="noConversion"/>
  </si>
  <si>
    <t>成果展示，使用动态镜头视角（平移/缩放切换），演奏曲目《赛博朋克2077》，配合一些2077的特效
添加字幕：“BGM由钢尺演奏”</t>
    <phoneticPr fontId="2" type="noConversion"/>
  </si>
  <si>
    <t>《spoiler》</t>
    <phoneticPr fontId="2" type="noConversion"/>
  </si>
  <si>
    <r>
      <rPr>
        <sz val="11"/>
        <color rgb="FF000000"/>
        <rFont val="MS Gothic"/>
        <family val="3"/>
        <charset val="128"/>
      </rPr>
      <t>​</t>
    </r>
    <r>
      <rPr>
        <sz val="11"/>
        <color rgb="FF000000"/>
        <rFont val="微软雅黑"/>
        <family val="2"/>
        <charset val="134"/>
      </rPr>
      <t>弹钢尺的画面不变
范大将军片段（画中画）</t>
    </r>
    <phoneticPr fontId="2" type="noConversion"/>
  </si>
  <si>
    <t>方案可行！！！
不过这样的效果还差点意思，还有很多问题要解决！</t>
    <phoneticPr fontId="2" type="noConversion"/>
  </si>
  <si>
    <t>用高速摄影机播放分析一下：
抬起舵机--&gt;移动钢尺--&gt;舵机按下--&gt;舵机拨动
这四个步骤中，舵机抬起与落下耗时最多，需要着重优化</t>
    <phoneticPr fontId="2" type="noConversion"/>
  </si>
  <si>
    <t>10:19-10:32 https://www.bilibili.com/video/BV187411r7hp/</t>
    <phoneticPr fontId="2" type="noConversion"/>
  </si>
  <si>
    <t>midi图示
nokia tune播放视频
5针、usb、RTS等物理接口
麦克风--&gt;开发板-(usb线)-&gt;mic--&gt;电脑
                                    -&gt;midi--&gt;</t>
    <phoneticPr fontId="2" type="noConversion"/>
  </si>
  <si>
    <t>开发板乱糟糟的连线
人+影视飓风的扭转特效</t>
    <phoneticPr fontId="2" type="noConversion"/>
  </si>
  <si>
    <t>几个焊接特写：焊接排母、安装元件（插入卡点）
成品效果</t>
    <phoneticPr fontId="2" type="noConversion"/>
  </si>
  <si>
    <t>组装过程特写（按照装机区的那种风格）
以安装器件，拧螺丝为主</t>
    <phoneticPr fontId="2" type="noConversion"/>
  </si>
  <si>
    <t>如果没有midi键盘，也可用手机的虚拟MIDI键盘</t>
    <phoneticPr fontId="2" type="noConversion"/>
  </si>
  <si>
    <t>手机midi键盘演示：do re mi fa。。。</t>
    <phoneticPr fontId="2" type="noConversion"/>
  </si>
  <si>
    <t>不同力度弹奏midi键盘演示强弱
原声--&gt;效果器（片头cyberpunk 2077 预告BGM演奏）
口播出镜（拿着读最后一句台词）</t>
    <phoneticPr fontId="2" type="noConversion"/>
  </si>
  <si>
    <t>先试试最简单的小星星
这是《小星星》？我自己都要听不出来了？</t>
    <phoneticPr fontId="2" type="noConversion"/>
  </si>
  <si>
    <t>怎么办呢？那就…上！科！技！
“自动演奏的钢尺”
让我们开始吧</t>
    <phoneticPr fontId="2" type="noConversion"/>
  </si>
  <si>
    <t>加加鸽</t>
    <phoneticPr fontId="2" type="noConversion"/>
  </si>
  <si>
    <r>
      <t>那，首先想到的就是：可以更换一个更快速的舵机，减少耗时
当然也可以是其他电机：但要有足够的下压力，并且体积不能太大
这就会发现：速度快、力量大、体积小是一个</t>
    </r>
    <r>
      <rPr>
        <b/>
        <sz val="11"/>
        <color rgb="FF000000"/>
        <rFont val="微软雅黑"/>
        <family val="2"/>
        <charset val="134"/>
      </rPr>
      <t>不可能三角</t>
    </r>
    <r>
      <rPr>
        <sz val="11"/>
        <color rgb="FF000000"/>
        <rFont val="微软雅黑"/>
        <family val="2"/>
        <charset val="134"/>
      </rPr>
      <t>，最多只能取其二，其中：
sg90舵机，力量大、体积小、但速度慢↓
小无刷电机，速度快、体积小，但力量小↓
3D打印机常用的42步进电机，速度快、力量大、但体积大↓</t>
    </r>
    <phoneticPr fontId="2" type="noConversion"/>
  </si>
  <si>
    <t>我：那怎么办呢？
刘华强：那，吸铁石
我：对呀！谁说一定要用舵机呢。钢尺嘛，可以用电磁铁来吸住它
我：看！还挺牢固的</t>
    <phoneticPr fontId="2" type="noConversion"/>
  </si>
  <si>
    <t>口播出镜
《华强买瓜》——吸铁石
电磁铁吸住钢尺特写（尝试拨动，如果不行就静态展示）</t>
    <phoneticPr fontId="2" type="noConversion"/>
  </si>
  <si>
    <t>引子</t>
    <phoneticPr fontId="2" type="noConversion"/>
  </si>
  <si>
    <t>钢尺君</t>
    <phoneticPr fontId="2" type="noConversion"/>
  </si>
  <si>
    <t>杯鸽</t>
    <phoneticPr fontId="2" type="noConversion"/>
  </si>
  <si>
    <t>一根钢尺的艺术之旅</t>
    <phoneticPr fontId="2" type="noConversion"/>
  </si>
  <si>
    <t>序号</t>
    <phoneticPr fontId="2" type="noConversion"/>
  </si>
  <si>
    <t>up主</t>
    <phoneticPr fontId="2" type="noConversion"/>
  </si>
  <si>
    <t>作品名称</t>
    <phoneticPr fontId="2" type="noConversion"/>
  </si>
  <si>
    <t>备注</t>
    <phoneticPr fontId="2" type="noConversion"/>
  </si>
  <si>
    <t>佚名</t>
    <phoneticPr fontId="2" type="noConversion"/>
  </si>
  <si>
    <t>千本樱</t>
    <phoneticPr fontId="2" type="noConversion"/>
  </si>
  <si>
    <t>大钢尺我的家乡</t>
    <phoneticPr fontId="2" type="noConversion"/>
  </si>
  <si>
    <t>only my railgun</t>
    <phoneticPr fontId="2" type="noConversion"/>
  </si>
  <si>
    <t>取出模型--&gt;拿到工作台--&gt;掰下来 / 一个响指出现在桌面</t>
    <phoneticPr fontId="2" type="noConversion"/>
  </si>
  <si>
    <t>sg90舵机</t>
    <phoneticPr fontId="2" type="noConversion"/>
  </si>
  <si>
    <t>42步进电机</t>
    <phoneticPr fontId="2" type="noConversion"/>
  </si>
  <si>
    <t>小无刷电机</t>
    <phoneticPr fontId="2" type="noConversion"/>
  </si>
  <si>
    <t>响应快</t>
    <phoneticPr fontId="2" type="noConversion"/>
  </si>
  <si>
    <t>体积小</t>
    <phoneticPr fontId="2" type="noConversion"/>
  </si>
  <si>
    <t>扭力大</t>
    <phoneticPr fontId="2" type="noConversion"/>
  </si>
  <si>
    <t>演奏《小星星》</t>
    <phoneticPr fontId="2" type="noConversion"/>
  </si>
  <si>
    <r>
      <rPr>
        <sz val="11"/>
        <color theme="0" tint="-4.9989318521683403E-2"/>
        <rFont val="微软雅黑"/>
        <family val="2"/>
        <charset val="134"/>
      </rPr>
      <t>夺舍钢尺</t>
    </r>
    <r>
      <rPr>
        <sz val="11"/>
        <color rgb="FF000000"/>
        <rFont val="微软雅黑"/>
        <family val="2"/>
        <charset val="134"/>
      </rPr>
      <t xml:space="preserve">
口播出镜
废弃的3d打印件
100多个commit屏幕滚动</t>
    </r>
    <phoneticPr fontId="2" type="noConversion"/>
  </si>
  <si>
    <t>我：我一个程序员，让我弹钢尺，我能弹么？弹不了！
范志毅：“没这个能力知道吧！”</t>
    <phoneticPr fontId="2" type="noConversion"/>
  </si>
  <si>
    <t>过渡到:
Cyberuler 2025，添加文本特效</t>
    <phoneticPr fontId="2" type="noConversion"/>
  </si>
  <si>
    <t>口播出镜
原型机演奏《小星星》</t>
    <phoneticPr fontId="2" type="noConversion"/>
  </si>
  <si>
    <t>演奏一个音符的慢放视频（使用类似进度条的东西，显示每部分时间占用）</t>
    <phoneticPr fontId="2" type="noConversion"/>
  </si>
  <si>
    <r>
      <rPr>
        <b/>
        <sz val="11"/>
        <color rgb="FF000000"/>
        <rFont val="微软雅黑"/>
        <family val="2"/>
        <charset val="134"/>
      </rPr>
      <t>插入电脑</t>
    </r>
    <r>
      <rPr>
        <sz val="11"/>
        <color rgb="FF000000"/>
        <rFont val="微软雅黑"/>
        <family val="2"/>
        <charset val="134"/>
      </rPr>
      <t xml:space="preserve">
设备管理器与音频设备展示</t>
    </r>
    <phoneticPr fontId="2" type="noConversion"/>
  </si>
  <si>
    <t>最后的最后，就以一首《卡农》二重奏作为结尾吧</t>
    <phoneticPr fontId="2" type="noConversion"/>
  </si>
  <si>
    <t>口播出镜
快速演奏（无法压住钢尺，节奏乱掉）</t>
    <phoneticPr fontId="2" type="noConversion"/>
  </si>
  <si>
    <r>
      <t xml:space="preserve">口播出镜
</t>
    </r>
    <r>
      <rPr>
        <sz val="11"/>
        <color theme="0" tint="-0.14999847407452621"/>
        <rFont val="微软雅黑"/>
        <family val="2"/>
        <charset val="134"/>
      </rPr>
      <t>自动弹奏一个音+手机fft，浮现文字：误差xxx</t>
    </r>
    <phoneticPr fontId="2" type="noConversion"/>
  </si>
  <si>
    <r>
      <t xml:space="preserve">解决了速度问题，下一个要解决的就是音不准的问题
</t>
    </r>
    <r>
      <rPr>
        <sz val="11"/>
        <color theme="0" tint="-0.14999847407452621"/>
        <rFont val="微软雅黑"/>
        <family val="2"/>
        <charset val="134"/>
      </rPr>
      <t>偏差有x.x%，如果偏差超过3%（50音分）就是明显跑调了</t>
    </r>
    <phoneticPr fontId="2" type="noConversion"/>
  </si>
  <si>
    <t>口播出镜
麦克风--&gt;开发板-(usb线)-&gt;mic--电脑</t>
    <phoneticPr fontId="2" type="noConversion"/>
  </si>
  <si>
    <t>既然有了麦克风硬件和usb，那为什么不物尽其用呢？
可以再集成一个usb麦克风，连接电脑用来录音，获得更好的录音音质。</t>
    <phoneticPr fontId="2" type="noConversion"/>
  </si>
  <si>
    <t>那么，开干！！！</t>
    <phoneticPr fontId="2" type="noConversion"/>
  </si>
  <si>
    <t>口播出镜
做出握拳加油的手势</t>
    <phoneticPr fontId="2" type="noConversion"/>
  </si>
  <si>
    <t>TODO：做一下视频增稳</t>
    <phoneticPr fontId="2" type="noConversion"/>
  </si>
  <si>
    <t>怎么样？这个赛博钢尺琴是不是还有点意思？
不过单单一只钢尺演奏难免有些单调，所以我希望再增加几个乐器</t>
    <phoneticPr fontId="2" type="noConversion"/>
  </si>
  <si>
    <t>首先是钢尺，充当类似吉他的角色</t>
    <phoneticPr fontId="2" type="noConversion"/>
  </si>
  <si>
    <t>其次是第一支笔，充当类似长笛的角色</t>
    <phoneticPr fontId="2" type="noConversion"/>
  </si>
  <si>
    <t>pen beats演示动次打次三次（缩小并放在右下角，配架子鼓）</t>
    <phoneticPr fontId="2" type="noConversion"/>
  </si>
  <si>
    <t>拨动钢尺演奏示意（缩小并放在左下角，配吉他）</t>
    <phoneticPr fontId="2" type="noConversion"/>
  </si>
  <si>
    <t>吹笔奏演示意（缩小并放在上方，配长笛）</t>
    <phoneticPr fontId="2" type="noConversion"/>
  </si>
  <si>
    <t>第二开始遍跟读：动次打次
这是第二支笔，充当类似架子鼓的角色</t>
    <phoneticPr fontId="2" type="noConversion"/>
  </si>
  <si>
    <t>让它们组一个文具乐队！！！</t>
    <phoneticPr fontId="2" type="noConversion"/>
  </si>
  <si>
    <t>吉他（钢尺），长笛（笔），架子鼓（笔）</t>
    <phoneticPr fontId="2" type="noConversion"/>
  </si>
  <si>
    <t>首先设计一个原型机，验证可行性。</t>
    <phoneticPr fontId="2" type="noConversion"/>
  </si>
  <si>
    <t>加入一下飞入的音效</t>
    <phoneticPr fontId="2" type="noConversion"/>
  </si>
  <si>
    <t>先画一个个手绘示意图
然后来建模，使用丝杆步进电机来控制钢尺移动、使用一个舵机压住钢尺、另一个舵机弹拨钢尺。最后加上底座就完成啦！</t>
    <phoneticPr fontId="2" type="noConversion"/>
  </si>
  <si>
    <t>口播
千本樱——佚名
only my railgun——钢尺君
大东北我的家乡——杯鸽
（以相片的方式一次落下堆叠）
口播</t>
    <phoneticPr fontId="2" type="noConversion"/>
  </si>
  <si>
    <t>口播
手动演奏一个《小星星》</t>
    <phoneticPr fontId="2" type="noConversion"/>
  </si>
  <si>
    <t>TODO:文本霓虹灯特效</t>
    <phoneticPr fontId="2" type="noConversion"/>
  </si>
  <si>
    <t>手绘设计图展示
建模展示：钢尺+丝杆步进电机+按压舵机+拨弦舵机</t>
    <phoneticPr fontId="2" type="noConversion"/>
  </si>
  <si>
    <t>首先设计PCB，为了更方便复刻，都是使用的成品模块</t>
    <phoneticPr fontId="2" type="noConversion"/>
  </si>
  <si>
    <t>搞定了硬件，接下来就要注入灵魂，撸代码！！！</t>
    <phoneticPr fontId="2" type="noConversion"/>
  </si>
  <si>
    <t>leonierX</t>
  </si>
  <si>
    <t>nokia tune (MIDI)</t>
    <phoneticPr fontId="2" type="noConversion"/>
  </si>
  <si>
    <t>另外，滑块直接套在丝杆上，阻力比较大，也会影响速度
参考光驱中的结构，滑块是导轨的。那么给滑块加上导轨减小阻力也是很必要的</t>
    <phoneticPr fontId="2" type="noConversion"/>
  </si>
  <si>
    <t>如何提高音准呢？先看一下原型机上的方法：
调音时，在桌面拨动钢尺，测出几个基准长度的音高，而后拟合出频率-长度曲线。
演奏时，候通过目标频率换算出具体的钢尺长度。
但这样人工测量非常耗时，而且精度不高，导致音不准。</t>
    <phoneticPr fontId="2" type="noConversion"/>
  </si>
  <si>
    <t>因此，使用程序控制钢尺在不同长度弹奏，并用麦克风采集音频进行傅里叶变换，得到对应长度的频率。最终就可以拟合出一个高精度的频率-电机步进(step)对应曲线，来提高音准。</t>
    <phoneticPr fontId="2" type="noConversion"/>
  </si>
  <si>
    <t>还有一个问题，就是，乐谱的记录与传输
原型机的谱子格式是自定义的：
比如，("5", 1)：即表示do、re、mi、fa、sol的Sol，时长为一拍，用串口发送一个音符演奏一个音符
这样，虽然调试方便，但每首歌都要一个音一个音来写，太麻烦了！！！</t>
    <phoneticPr fontId="2" type="noConversion"/>
  </si>
  <si>
    <t>哎！不知道你有没有听过一种技术叫MIDI，它即可以传输音符，又可以存储乐谱。
举个例子，功能机时代的诺基亚铃声，它就是midi，比如这个
（播放视频）
midi可以使用多种接口进行传输，比如usb接口。而esp32主控就支持usb接口。使用usb midi就是最好的选择了。</t>
    <phoneticPr fontId="2" type="noConversion"/>
  </si>
  <si>
    <t>最后，使用开发板+面包板飞线，实在太乱了
嗯~（表情）
需要一个新设计把他们整合起来！</t>
    <phoneticPr fontId="2" type="noConversion"/>
  </si>
  <si>
    <t>当然也需要重新建模，将新的电路板与钢尺、电机等器件整合在一起</t>
    <phoneticPr fontId="2" type="noConversion"/>
  </si>
  <si>
    <r>
      <rPr>
        <sz val="11"/>
        <color theme="0" tint="-4.9989318521683403E-2"/>
        <rFont val="微软雅黑"/>
        <family val="2"/>
        <charset val="134"/>
      </rPr>
      <t xml:space="preserve">夺舍（使用伤心欲茄声音AI合成）：斯你麻赛，nice什么呀！修改了多少个版本才有现在的效果的呀？你是nice了，我的刻度线都磨没了，八嘎压路！
我：这不是考虑到观众老爷的观看体验，将中间的调试过程压缩了么
</t>
    </r>
    <r>
      <rPr>
        <sz val="11"/>
        <color rgb="FF000000"/>
        <rFont val="微软雅黑"/>
        <family val="2"/>
        <charset val="134"/>
      </rPr>
      <t>我：当然，制作过程还是有些波折的。看，结构模型迭代了很多的版本。
我：代码也是打磨了很多次，这里有100多个commit</t>
    </r>
    <phoneticPr fontId="2" type="noConversion"/>
  </si>
  <si>
    <t>早年在b站经常能看到大佬用钢尺演奏音乐，比如这些
（视频播放）
真是太酷了！我也跃跃欲试，想要自己演奏试试！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</si>
</sst>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等线"/>
    </font>
    <font>
      <sz val="11"/>
      <name val="等线"/>
      <family val="3"/>
      <charset val="134"/>
    </font>
    <font>
      <sz val="9"/>
      <name val="宋体"/>
      <family val="3"/>
      <charset val="134"/>
    </font>
    <font>
      <b/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11"/>
      <name val="微软雅黑"/>
      <family val="2"/>
      <charset val="134"/>
    </font>
    <font>
      <b/>
      <sz val="11"/>
      <name val="等线"/>
      <family val="3"/>
      <charset val="134"/>
    </font>
    <font>
      <sz val="11"/>
      <color rgb="FF000000"/>
      <name val="MS Gothic"/>
      <family val="3"/>
      <charset val="128"/>
    </font>
    <font>
      <sz val="11"/>
      <color rgb="FF000000"/>
      <name val="微软雅黑"/>
      <family val="3"/>
      <charset val="128"/>
    </font>
    <font>
      <sz val="11"/>
      <color theme="0" tint="-4.9989318521683403E-2"/>
      <name val="微软雅黑"/>
      <family val="2"/>
      <charset val="134"/>
    </font>
    <font>
      <sz val="11"/>
      <color theme="0" tint="-0.14999847407452621"/>
      <name val="微软雅黑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45" fontId="4" fillId="0" borderId="1" xfId="0" applyNumberFormat="1" applyFont="1" applyBorder="1" applyAlignment="1">
      <alignment horizontal="left" vertical="center" wrapText="1"/>
    </xf>
    <xf numFmtId="21" fontId="4" fillId="0" borderId="1" xfId="0" applyNumberFormat="1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6" fillId="3" borderId="0" xfId="0" applyFont="1" applyFill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7" fillId="0" borderId="0" xfId="0" applyFont="1">
      <alignment vertical="center"/>
    </xf>
    <xf numFmtId="0" fontId="4" fillId="0" borderId="6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 wrapText="1"/>
    </xf>
    <xf numFmtId="21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45" fontId="4" fillId="4" borderId="1" xfId="0" applyNumberFormat="1" applyFont="1" applyFill="1" applyBorder="1" applyAlignment="1">
      <alignment horizontal="left" vertical="center" wrapText="1"/>
    </xf>
    <xf numFmtId="21" fontId="4" fillId="4" borderId="1" xfId="0" applyNumberFormat="1" applyFont="1" applyFill="1" applyBorder="1" applyAlignment="1">
      <alignment horizontal="left" vertical="center" wrapText="1"/>
    </xf>
    <xf numFmtId="21" fontId="4" fillId="5" borderId="1" xfId="0" applyNumberFormat="1" applyFont="1" applyFill="1" applyBorder="1" applyAlignment="1">
      <alignment horizontal="left" vertical="center" wrapText="1"/>
    </xf>
    <xf numFmtId="45" fontId="4" fillId="5" borderId="1" xfId="0" applyNumberFormat="1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21" fontId="4" fillId="0" borderId="2" xfId="0" applyNumberFormat="1" applyFont="1" applyBorder="1" applyAlignment="1">
      <alignment horizontal="center" vertical="center" wrapText="1"/>
    </xf>
    <xf numFmtId="21" fontId="4" fillId="7" borderId="1" xfId="0" applyNumberFormat="1" applyFont="1" applyFill="1" applyBorder="1" applyAlignment="1">
      <alignment horizontal="left" vertical="center" wrapText="1"/>
    </xf>
    <xf numFmtId="45" fontId="4" fillId="7" borderId="1" xfId="0" applyNumberFormat="1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4" fillId="7" borderId="0" xfId="0" applyFont="1" applyFill="1" applyAlignment="1">
      <alignment horizontal="left" vertical="center" wrapText="1"/>
    </xf>
    <xf numFmtId="21" fontId="4" fillId="0" borderId="2" xfId="0" applyNumberFormat="1" applyFont="1" applyBorder="1" applyAlignment="1">
      <alignment horizontal="center" vertical="center" wrapText="1"/>
    </xf>
    <xf numFmtId="21" fontId="4" fillId="0" borderId="6" xfId="0" applyNumberFormat="1" applyFont="1" applyBorder="1" applyAlignment="1">
      <alignment horizontal="center" vertical="center" wrapText="1"/>
    </xf>
    <xf numFmtId="21" fontId="4" fillId="0" borderId="5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6" fillId="8" borderId="3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www.wps.cn/officeDocument/2020/cellImage" Target="NUL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4070841380676479"/>
          <c:y val="0.16961546837213035"/>
          <c:w val="0.5827211133492034"/>
          <c:h val="0.7869142968699161"/>
        </c:manualLayout>
      </c:layout>
      <c:radarChart>
        <c:radarStyle val="marker"/>
        <c:varyColors val="0"/>
        <c:ser>
          <c:idx val="0"/>
          <c:order val="0"/>
          <c:tx>
            <c:strRef>
              <c:f>雷达图制作!$A$2</c:f>
              <c:strCache>
                <c:ptCount val="1"/>
                <c:pt idx="0">
                  <c:v>sg90舵机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雷达图制作!$B$1:$D$1</c:f>
              <c:strCache>
                <c:ptCount val="3"/>
                <c:pt idx="0">
                  <c:v>响应快</c:v>
                </c:pt>
                <c:pt idx="1">
                  <c:v>体积小</c:v>
                </c:pt>
                <c:pt idx="2">
                  <c:v>扭力大</c:v>
                </c:pt>
              </c:strCache>
            </c:strRef>
          </c:cat>
          <c:val>
            <c:numRef>
              <c:f>雷达图制作!$B$2:$D$2</c:f>
              <c:numCache>
                <c:formatCode>General</c:formatCode>
                <c:ptCount val="3"/>
                <c:pt idx="0">
                  <c:v>2</c:v>
                </c:pt>
                <c:pt idx="1">
                  <c:v>10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7B-435F-A1A5-5285699195E0}"/>
            </c:ext>
          </c:extLst>
        </c:ser>
        <c:ser>
          <c:idx val="1"/>
          <c:order val="1"/>
          <c:tx>
            <c:strRef>
              <c:f>雷达图制作!$A$3</c:f>
              <c:strCache>
                <c:ptCount val="1"/>
                <c:pt idx="0">
                  <c:v>小无刷电机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雷达图制作!$B$1:$D$1</c:f>
              <c:strCache>
                <c:ptCount val="3"/>
                <c:pt idx="0">
                  <c:v>响应快</c:v>
                </c:pt>
                <c:pt idx="1">
                  <c:v>体积小</c:v>
                </c:pt>
                <c:pt idx="2">
                  <c:v>扭力大</c:v>
                </c:pt>
              </c:strCache>
            </c:strRef>
          </c:cat>
          <c:val>
            <c:numRef>
              <c:f>雷达图制作!$B$3:$D$3</c:f>
              <c:numCache>
                <c:formatCode>General</c:formatCode>
                <c:ptCount val="3"/>
                <c:pt idx="0">
                  <c:v>10</c:v>
                </c:pt>
                <c:pt idx="1">
                  <c:v>6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7B-435F-A1A5-5285699195E0}"/>
            </c:ext>
          </c:extLst>
        </c:ser>
        <c:ser>
          <c:idx val="2"/>
          <c:order val="2"/>
          <c:tx>
            <c:strRef>
              <c:f>雷达图制作!$A$4</c:f>
              <c:strCache>
                <c:ptCount val="1"/>
                <c:pt idx="0">
                  <c:v>42步进电机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雷达图制作!$B$1:$D$1</c:f>
              <c:strCache>
                <c:ptCount val="3"/>
                <c:pt idx="0">
                  <c:v>响应快</c:v>
                </c:pt>
                <c:pt idx="1">
                  <c:v>体积小</c:v>
                </c:pt>
                <c:pt idx="2">
                  <c:v>扭力大</c:v>
                </c:pt>
              </c:strCache>
            </c:strRef>
          </c:cat>
          <c:val>
            <c:numRef>
              <c:f>雷达图制作!$B$4:$D$4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7B-435F-A1A5-528569919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882544"/>
        <c:axId val="173883984"/>
      </c:radarChart>
      <c:catAx>
        <c:axId val="173882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3883984"/>
        <c:crosses val="autoZero"/>
        <c:auto val="1"/>
        <c:lblAlgn val="ctr"/>
        <c:lblOffset val="100"/>
        <c:noMultiLvlLbl val="0"/>
      </c:catAx>
      <c:valAx>
        <c:axId val="17388398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3882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8782548407864111"/>
          <c:y val="3.7845705967976713E-2"/>
          <c:w val="0.38580779900267165"/>
          <c:h val="4.76914274320332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176212</xdr:colOff>
      <xdr:row>1</xdr:row>
      <xdr:rowOff>100013</xdr:rowOff>
    </xdr:from>
    <xdr:to>
      <xdr:col>25</xdr:col>
      <xdr:colOff>133349</xdr:colOff>
      <xdr:row>46</xdr:row>
      <xdr:rowOff>133350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19E40572-40B7-3FA3-1CE0-D8AB9EBEB9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BFDF2-C68F-43FE-8FE4-06F462270704}">
  <dimension ref="A1:A8"/>
  <sheetViews>
    <sheetView workbookViewId="0">
      <selection activeCell="D12" sqref="D12"/>
    </sheetView>
  </sheetViews>
  <sheetFormatPr defaultRowHeight="13.9" x14ac:dyDescent="0.4"/>
  <sheetData>
    <row r="1" spans="1:1" x14ac:dyDescent="0.4">
      <c r="A1" s="19" t="s">
        <v>29</v>
      </c>
    </row>
    <row r="2" spans="1:1" x14ac:dyDescent="0.4">
      <c r="A2" s="1" t="s">
        <v>28</v>
      </c>
    </row>
    <row r="3" spans="1:1" x14ac:dyDescent="0.4">
      <c r="A3" s="1" t="s">
        <v>30</v>
      </c>
    </row>
    <row r="5" spans="1:1" x14ac:dyDescent="0.4">
      <c r="A5" s="19" t="s">
        <v>31</v>
      </c>
    </row>
    <row r="6" spans="1:1" x14ac:dyDescent="0.4">
      <c r="A6" s="1" t="s">
        <v>45</v>
      </c>
    </row>
    <row r="8" spans="1:1" x14ac:dyDescent="0.4">
      <c r="A8" s="1" t="s">
        <v>77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5"/>
  <sheetViews>
    <sheetView tabSelected="1" zoomScaleNormal="100" workbookViewId="0">
      <pane ySplit="1" topLeftCell="A5" activePane="bottomLeft" state="frozen"/>
      <selection pane="bottomLeft" activeCell="E5" sqref="E5"/>
    </sheetView>
  </sheetViews>
  <sheetFormatPr defaultColWidth="9.06640625" defaultRowHeight="15" x14ac:dyDescent="0.4"/>
  <cols>
    <col min="1" max="2" width="8.265625" style="6" customWidth="1"/>
    <col min="3" max="3" width="8.265625" style="24" customWidth="1"/>
    <col min="4" max="5" width="62.796875" style="6" customWidth="1"/>
    <col min="6" max="6" width="26.265625" style="6" bestFit="1" customWidth="1"/>
    <col min="7" max="7" width="25.33203125" style="6" customWidth="1"/>
    <col min="8" max="16384" width="9.06640625" style="3"/>
  </cols>
  <sheetData>
    <row r="1" spans="1:7" ht="15.75" x14ac:dyDescent="0.4">
      <c r="A1" s="2" t="s">
        <v>10</v>
      </c>
      <c r="B1" s="2" t="s">
        <v>4</v>
      </c>
      <c r="C1" s="2" t="s">
        <v>12</v>
      </c>
      <c r="D1" s="2" t="s">
        <v>0</v>
      </c>
      <c r="E1" s="2" t="s">
        <v>1</v>
      </c>
      <c r="F1" s="2" t="s">
        <v>2</v>
      </c>
      <c r="G1" s="2" t="s">
        <v>3</v>
      </c>
    </row>
    <row r="2" spans="1:7" ht="45" x14ac:dyDescent="0.4">
      <c r="A2" s="28">
        <v>0</v>
      </c>
      <c r="B2" s="29">
        <v>1.1574074074074073E-4</v>
      </c>
      <c r="C2" s="23" t="s">
        <v>22</v>
      </c>
      <c r="D2" s="6" t="s">
        <v>55</v>
      </c>
      <c r="F2" s="6" t="s">
        <v>56</v>
      </c>
    </row>
    <row r="3" spans="1:7" ht="30" x14ac:dyDescent="0.4">
      <c r="A3" s="28">
        <f t="shared" ref="A3:A9" si="0">A2+B2</f>
        <v>1.1574074074074073E-4</v>
      </c>
      <c r="B3" s="29">
        <v>5.7870370370370366E-5</v>
      </c>
      <c r="C3" s="23" t="s">
        <v>31</v>
      </c>
      <c r="D3" s="6" t="s">
        <v>96</v>
      </c>
      <c r="F3" s="6" t="s">
        <v>56</v>
      </c>
      <c r="G3" s="7" t="s">
        <v>123</v>
      </c>
    </row>
    <row r="4" spans="1:7" ht="90" x14ac:dyDescent="0.4">
      <c r="A4" s="28">
        <f t="shared" si="0"/>
        <v>1.7361111111111109E-4</v>
      </c>
      <c r="B4" s="29">
        <v>1.1574074074074073E-4</v>
      </c>
      <c r="C4" s="36" t="s">
        <v>74</v>
      </c>
      <c r="D4" s="6" t="s">
        <v>121</v>
      </c>
      <c r="E4" s="6" t="s">
        <v>137</v>
      </c>
    </row>
    <row r="5" spans="1:7" ht="30" x14ac:dyDescent="0.4">
      <c r="A5" s="27">
        <f t="shared" si="0"/>
        <v>2.8935185185185184E-4</v>
      </c>
      <c r="B5" s="26">
        <v>1.1574074074074073E-4</v>
      </c>
      <c r="C5" s="37"/>
      <c r="D5" s="6" t="s">
        <v>122</v>
      </c>
      <c r="E5" s="6" t="s">
        <v>68</v>
      </c>
    </row>
    <row r="6" spans="1:7" x14ac:dyDescent="0.4">
      <c r="A6" s="28">
        <f t="shared" si="0"/>
        <v>4.0509259259259258E-4</v>
      </c>
      <c r="B6" s="29">
        <v>1.1574074074074073E-5</v>
      </c>
      <c r="C6" s="37"/>
      <c r="D6" s="6" t="s">
        <v>23</v>
      </c>
      <c r="E6" s="3"/>
      <c r="F6" s="6" t="s">
        <v>24</v>
      </c>
    </row>
    <row r="7" spans="1:7" ht="30" x14ac:dyDescent="0.4">
      <c r="A7" s="27">
        <f t="shared" si="0"/>
        <v>4.1666666666666664E-4</v>
      </c>
      <c r="B7" s="26">
        <v>9.2592592592592588E-5</v>
      </c>
      <c r="C7" s="37"/>
      <c r="D7" s="25" t="s">
        <v>57</v>
      </c>
      <c r="E7" s="6" t="s">
        <v>95</v>
      </c>
    </row>
    <row r="8" spans="1:7" ht="45" x14ac:dyDescent="0.4">
      <c r="A8" s="27">
        <f t="shared" si="0"/>
        <v>5.0925925925925921E-4</v>
      </c>
      <c r="B8" s="26">
        <v>4.6296296296296294E-5</v>
      </c>
      <c r="C8" s="38"/>
      <c r="D8" s="6" t="s">
        <v>25</v>
      </c>
      <c r="E8" s="6" t="s">
        <v>69</v>
      </c>
    </row>
    <row r="9" spans="1:7" x14ac:dyDescent="0.4">
      <c r="A9" s="27">
        <f t="shared" si="0"/>
        <v>5.5555555555555556E-4</v>
      </c>
      <c r="B9" s="26">
        <v>5.7870370370370366E-5</v>
      </c>
      <c r="C9" s="23" t="s">
        <v>21</v>
      </c>
      <c r="D9" s="6" t="s">
        <v>70</v>
      </c>
    </row>
    <row r="10" spans="1:7" s="9" customFormat="1" x14ac:dyDescent="0.4">
      <c r="A10" s="5">
        <f>A7+B7</f>
        <v>5.0925925925925921E-4</v>
      </c>
      <c r="B10" s="4">
        <v>1.3888888888888889E-4</v>
      </c>
      <c r="C10" s="31"/>
      <c r="D10" s="6" t="s">
        <v>36</v>
      </c>
      <c r="E10" s="8" t="s">
        <v>118</v>
      </c>
      <c r="F10" s="8"/>
      <c r="G10" s="7"/>
    </row>
    <row r="11" spans="1:7" s="9" customFormat="1" ht="45" x14ac:dyDescent="0.4">
      <c r="A11" s="5">
        <f>A8+B8</f>
        <v>5.5555555555555556E-4</v>
      </c>
      <c r="B11" s="4">
        <v>1.3888888888888889E-4</v>
      </c>
      <c r="C11" s="36" t="s">
        <v>20</v>
      </c>
      <c r="D11" s="6" t="s">
        <v>124</v>
      </c>
      <c r="E11" s="8" t="s">
        <v>120</v>
      </c>
      <c r="F11" s="8" t="s">
        <v>119</v>
      </c>
      <c r="G11" s="7"/>
    </row>
    <row r="12" spans="1:7" ht="30" x14ac:dyDescent="0.4">
      <c r="A12" s="27">
        <f>A9+B9</f>
        <v>6.134259259259259E-4</v>
      </c>
      <c r="B12" s="26">
        <v>1.3888888888888889E-4</v>
      </c>
      <c r="C12" s="37"/>
      <c r="D12" s="6" t="s">
        <v>97</v>
      </c>
      <c r="E12" s="8" t="s">
        <v>39</v>
      </c>
      <c r="F12" s="10"/>
      <c r="G12" s="11"/>
    </row>
    <row r="13" spans="1:7" ht="30" x14ac:dyDescent="0.4">
      <c r="A13" s="5">
        <f t="shared" ref="A13:A20" si="1">A11+B11</f>
        <v>6.9444444444444447E-4</v>
      </c>
      <c r="B13" s="4">
        <v>6.9444444444444444E-5</v>
      </c>
      <c r="C13" s="38"/>
      <c r="D13" s="6" t="s">
        <v>36</v>
      </c>
      <c r="E13" s="42" t="s">
        <v>58</v>
      </c>
      <c r="F13" s="10"/>
      <c r="G13" s="11"/>
    </row>
    <row r="14" spans="1:7" s="16" customFormat="1" ht="45" x14ac:dyDescent="0.4">
      <c r="A14" s="27">
        <f t="shared" si="1"/>
        <v>7.5231481481481482E-4</v>
      </c>
      <c r="B14" s="26">
        <v>1.8518518518518518E-4</v>
      </c>
      <c r="C14" s="39" t="s">
        <v>35</v>
      </c>
      <c r="D14" s="6" t="s">
        <v>101</v>
      </c>
      <c r="E14" s="21" t="s">
        <v>41</v>
      </c>
      <c r="F14" s="22" t="s">
        <v>93</v>
      </c>
      <c r="G14" s="14"/>
    </row>
    <row r="15" spans="1:7" s="16" customFormat="1" ht="45" x14ac:dyDescent="0.4">
      <c r="A15" s="27">
        <f t="shared" si="1"/>
        <v>7.6388888888888893E-4</v>
      </c>
      <c r="B15" s="26">
        <v>2.3148148148148146E-4</v>
      </c>
      <c r="C15" s="41"/>
      <c r="D15" s="14" t="s">
        <v>98</v>
      </c>
      <c r="E15" s="15" t="s">
        <v>59</v>
      </c>
      <c r="F15" s="14"/>
      <c r="G15" s="18" t="s">
        <v>108</v>
      </c>
    </row>
    <row r="16" spans="1:7" s="16" customFormat="1" ht="105.75" x14ac:dyDescent="0.4">
      <c r="A16" s="27">
        <f t="shared" si="1"/>
        <v>9.3749999999999997E-4</v>
      </c>
      <c r="B16" s="26">
        <v>3.4722222222222224E-4</v>
      </c>
      <c r="C16" s="41"/>
      <c r="D16" s="13" t="s">
        <v>37</v>
      </c>
      <c r="E16" s="13" t="s">
        <v>71</v>
      </c>
      <c r="F16" s="13"/>
      <c r="G16" s="13"/>
    </row>
    <row r="17" spans="1:7" s="16" customFormat="1" ht="60" x14ac:dyDescent="0.4">
      <c r="A17" s="27">
        <f t="shared" si="1"/>
        <v>9.9537037037037042E-4</v>
      </c>
      <c r="B17" s="26">
        <v>1.1574074074074073E-4</v>
      </c>
      <c r="C17" s="41"/>
      <c r="D17" s="13" t="s">
        <v>73</v>
      </c>
      <c r="E17" s="13" t="s">
        <v>72</v>
      </c>
      <c r="F17" s="13" t="s">
        <v>26</v>
      </c>
      <c r="G17" s="13"/>
    </row>
    <row r="18" spans="1:7" s="16" customFormat="1" ht="45" x14ac:dyDescent="0.4">
      <c r="A18" s="27">
        <f t="shared" si="1"/>
        <v>1.2847222222222223E-3</v>
      </c>
      <c r="B18" s="26">
        <v>9.2592592592592588E-5</v>
      </c>
      <c r="C18" s="41"/>
      <c r="D18" s="6" t="s">
        <v>27</v>
      </c>
      <c r="E18" s="13" t="s">
        <v>129</v>
      </c>
      <c r="F18" s="13"/>
      <c r="G18" s="13"/>
    </row>
    <row r="19" spans="1:7" s="16" customFormat="1" x14ac:dyDescent="0.4">
      <c r="A19" s="5">
        <f t="shared" si="1"/>
        <v>1.1111111111111111E-3</v>
      </c>
      <c r="B19" s="4">
        <v>1.1574074074074073E-5</v>
      </c>
      <c r="C19" s="41"/>
      <c r="D19" s="18" t="s">
        <v>49</v>
      </c>
      <c r="E19" s="21"/>
      <c r="F19" s="13"/>
      <c r="G19" s="13"/>
    </row>
    <row r="20" spans="1:7" ht="30" x14ac:dyDescent="0.4">
      <c r="A20" s="5">
        <f t="shared" si="1"/>
        <v>1.3773148148148149E-3</v>
      </c>
      <c r="B20" s="4">
        <v>1.1574074074074073E-4</v>
      </c>
      <c r="C20" s="41"/>
      <c r="D20" s="6" t="s">
        <v>102</v>
      </c>
      <c r="E20" s="12" t="s">
        <v>103</v>
      </c>
      <c r="F20" s="8"/>
      <c r="G20" s="8"/>
    </row>
    <row r="21" spans="1:7" ht="75" x14ac:dyDescent="0.4">
      <c r="A21" s="27">
        <f>A20+B20</f>
        <v>1.4930555555555556E-3</v>
      </c>
      <c r="B21" s="26">
        <v>2.8935185185185189E-4</v>
      </c>
      <c r="C21" s="41"/>
      <c r="D21" s="6" t="s">
        <v>32</v>
      </c>
      <c r="E21" s="6" t="s">
        <v>130</v>
      </c>
    </row>
    <row r="22" spans="1:7" ht="45" x14ac:dyDescent="0.4">
      <c r="A22" s="27">
        <f>A21+B21</f>
        <v>1.7824074074074075E-3</v>
      </c>
      <c r="B22" s="26">
        <v>2.8935185185185189E-4</v>
      </c>
      <c r="C22" s="41"/>
      <c r="D22" s="10" t="s">
        <v>33</v>
      </c>
      <c r="E22" s="10" t="s">
        <v>131</v>
      </c>
    </row>
    <row r="23" spans="1:7" x14ac:dyDescent="0.4">
      <c r="A23" s="5">
        <f t="shared" ref="A23:A24" si="2">A22+B22</f>
        <v>2.0717592592592593E-3</v>
      </c>
      <c r="B23" s="4">
        <v>1.1574074074074073E-5</v>
      </c>
      <c r="C23" s="41"/>
      <c r="D23" s="11" t="s">
        <v>49</v>
      </c>
      <c r="E23" s="10"/>
    </row>
    <row r="24" spans="1:7" ht="75" x14ac:dyDescent="0.4">
      <c r="A24" s="27">
        <f t="shared" si="2"/>
        <v>2.0833333333333333E-3</v>
      </c>
      <c r="B24" s="26">
        <v>2.3148148148148146E-4</v>
      </c>
      <c r="C24" s="41"/>
      <c r="D24" s="6" t="s">
        <v>38</v>
      </c>
      <c r="E24" s="12" t="s">
        <v>132</v>
      </c>
      <c r="F24" s="8"/>
      <c r="G24" s="8"/>
    </row>
    <row r="25" spans="1:7" ht="90" x14ac:dyDescent="0.4">
      <c r="A25" s="27">
        <f t="shared" ref="A25:A46" si="3">A24+B24</f>
        <v>2.3148148148148147E-3</v>
      </c>
      <c r="B25" s="26">
        <v>4.6296296296296293E-4</v>
      </c>
      <c r="C25" s="41"/>
      <c r="D25" s="6" t="s">
        <v>61</v>
      </c>
      <c r="E25" s="6" t="s">
        <v>133</v>
      </c>
      <c r="G25" s="6" t="s">
        <v>60</v>
      </c>
    </row>
    <row r="26" spans="1:7" x14ac:dyDescent="0.4">
      <c r="A26" s="5">
        <f>A25+B25</f>
        <v>2.7777777777777775E-3</v>
      </c>
      <c r="B26" s="4">
        <v>1.1574074074074073E-5</v>
      </c>
      <c r="C26" s="41"/>
      <c r="D26" s="18" t="s">
        <v>49</v>
      </c>
      <c r="E26" s="12"/>
    </row>
    <row r="27" spans="1:7" s="17" customFormat="1" ht="30" x14ac:dyDescent="0.4">
      <c r="A27" s="27">
        <f>A26+B26</f>
        <v>2.7893518518518515E-3</v>
      </c>
      <c r="B27" s="26">
        <v>1.7361111111111112E-4</v>
      </c>
      <c r="C27" s="41"/>
      <c r="D27" s="6" t="s">
        <v>104</v>
      </c>
      <c r="E27" s="13" t="s">
        <v>105</v>
      </c>
      <c r="F27" s="14"/>
      <c r="G27" s="14"/>
    </row>
    <row r="28" spans="1:7" s="17" customFormat="1" x14ac:dyDescent="0.4">
      <c r="A28" s="5">
        <f>A27+B27</f>
        <v>2.9629629629629624E-3</v>
      </c>
      <c r="B28" s="4">
        <v>1.1574074074074073E-5</v>
      </c>
      <c r="C28" s="41"/>
      <c r="D28" s="18" t="s">
        <v>49</v>
      </c>
      <c r="E28" s="21"/>
      <c r="F28" s="14"/>
      <c r="G28" s="14"/>
    </row>
    <row r="29" spans="1:7" s="16" customFormat="1" ht="45" x14ac:dyDescent="0.4">
      <c r="A29" s="27">
        <f>A28+B28</f>
        <v>2.9745370370370364E-3</v>
      </c>
      <c r="B29" s="26">
        <v>1.1574074074074073E-4</v>
      </c>
      <c r="C29" s="41"/>
      <c r="D29" s="6" t="s">
        <v>62</v>
      </c>
      <c r="E29" s="21" t="s">
        <v>134</v>
      </c>
      <c r="F29" s="14"/>
      <c r="G29" s="14"/>
    </row>
    <row r="30" spans="1:7" x14ac:dyDescent="0.4">
      <c r="A30" s="5">
        <f>A29+B29</f>
        <v>3.0902777777777773E-3</v>
      </c>
      <c r="B30" s="4">
        <v>5.7870370370370366E-5</v>
      </c>
      <c r="C30" s="39" t="s">
        <v>19</v>
      </c>
      <c r="D30" s="6" t="s">
        <v>36</v>
      </c>
      <c r="E30" s="6" t="s">
        <v>106</v>
      </c>
    </row>
    <row r="31" spans="1:7" x14ac:dyDescent="0.4">
      <c r="A31" s="28">
        <f t="shared" si="3"/>
        <v>3.1481481481481477E-3</v>
      </c>
      <c r="B31" s="29">
        <v>1.1574074074074073E-4</v>
      </c>
      <c r="C31" s="41"/>
      <c r="D31" s="6" t="s">
        <v>50</v>
      </c>
      <c r="E31" s="6" t="s">
        <v>125</v>
      </c>
    </row>
    <row r="32" spans="1:7" s="35" customFormat="1" x14ac:dyDescent="0.4">
      <c r="A32" s="32">
        <f t="shared" si="3"/>
        <v>3.2638888888888887E-3</v>
      </c>
      <c r="B32" s="33">
        <v>5.7870370370370366E-5</v>
      </c>
      <c r="C32" s="41"/>
      <c r="D32" s="34" t="s">
        <v>11</v>
      </c>
      <c r="E32" s="34" t="s">
        <v>51</v>
      </c>
      <c r="F32" s="34" t="s">
        <v>5</v>
      </c>
      <c r="G32" s="34"/>
    </row>
    <row r="33" spans="1:7" ht="30" x14ac:dyDescent="0.4">
      <c r="A33" s="28">
        <f t="shared" si="3"/>
        <v>3.3217592592592591E-3</v>
      </c>
      <c r="B33" s="29">
        <v>5.7870370370370378E-4</v>
      </c>
      <c r="C33" s="41"/>
      <c r="D33" s="6" t="s">
        <v>63</v>
      </c>
      <c r="F33" s="7"/>
    </row>
    <row r="34" spans="1:7" x14ac:dyDescent="0.4">
      <c r="A34" s="28">
        <f t="shared" si="3"/>
        <v>3.9004629629629628E-3</v>
      </c>
      <c r="B34" s="29">
        <v>1.3888888888888889E-4</v>
      </c>
      <c r="C34" s="41"/>
      <c r="D34" s="6" t="s">
        <v>6</v>
      </c>
      <c r="E34" s="6" t="s">
        <v>135</v>
      </c>
      <c r="F34" s="7"/>
    </row>
    <row r="35" spans="1:7" x14ac:dyDescent="0.4">
      <c r="A35" s="28">
        <f t="shared" si="3"/>
        <v>4.0393518518518513E-3</v>
      </c>
      <c r="B35" s="29">
        <v>5.7870370370370366E-5</v>
      </c>
      <c r="C35" s="41"/>
      <c r="D35" s="6" t="s">
        <v>7</v>
      </c>
      <c r="F35" s="7"/>
    </row>
    <row r="36" spans="1:7" x14ac:dyDescent="0.4">
      <c r="A36" s="28">
        <f t="shared" si="3"/>
        <v>4.0972222222222217E-3</v>
      </c>
      <c r="B36" s="29">
        <v>5.7870370370370366E-5</v>
      </c>
      <c r="C36" s="41"/>
      <c r="D36" s="6" t="s">
        <v>86</v>
      </c>
      <c r="F36" s="7"/>
    </row>
    <row r="37" spans="1:7" ht="30" x14ac:dyDescent="0.4">
      <c r="A37" s="28">
        <f t="shared" si="3"/>
        <v>4.1550925925925922E-3</v>
      </c>
      <c r="B37" s="29">
        <v>5.7870370370370378E-4</v>
      </c>
      <c r="C37" s="41"/>
      <c r="D37" s="6" t="s">
        <v>64</v>
      </c>
      <c r="F37" s="7"/>
    </row>
    <row r="38" spans="1:7" x14ac:dyDescent="0.4">
      <c r="A38" s="28">
        <f t="shared" si="3"/>
        <v>4.7337962962962958E-3</v>
      </c>
      <c r="B38" s="29">
        <v>5.7870370370370366E-5</v>
      </c>
      <c r="C38" s="41"/>
      <c r="D38" s="6" t="s">
        <v>8</v>
      </c>
      <c r="F38" s="7" t="s">
        <v>40</v>
      </c>
    </row>
    <row r="39" spans="1:7" x14ac:dyDescent="0.4">
      <c r="A39" s="27">
        <f t="shared" si="3"/>
        <v>4.7916666666666663E-3</v>
      </c>
      <c r="B39" s="26">
        <v>3.4722222222222222E-5</v>
      </c>
      <c r="C39" s="41"/>
      <c r="D39" s="6" t="s">
        <v>46</v>
      </c>
      <c r="E39" s="6" t="s">
        <v>126</v>
      </c>
      <c r="F39" s="7"/>
    </row>
    <row r="40" spans="1:7" x14ac:dyDescent="0.4">
      <c r="A40" s="27">
        <f t="shared" si="3"/>
        <v>4.8263888888888887E-3</v>
      </c>
      <c r="B40" s="26">
        <v>4.6296296296296294E-5</v>
      </c>
      <c r="C40" s="40"/>
      <c r="D40" s="6" t="s">
        <v>9</v>
      </c>
      <c r="E40" s="6" t="s">
        <v>47</v>
      </c>
    </row>
    <row r="41" spans="1:7" ht="30.75" x14ac:dyDescent="0.4">
      <c r="A41" s="5">
        <f t="shared" si="3"/>
        <v>4.8726851851851848E-3</v>
      </c>
      <c r="B41" s="4">
        <v>4.6296296296296293E-4</v>
      </c>
      <c r="C41" s="39" t="s">
        <v>18</v>
      </c>
      <c r="D41" s="30" t="s">
        <v>99</v>
      </c>
      <c r="E41" s="6" t="s">
        <v>14</v>
      </c>
      <c r="F41" s="6" t="s">
        <v>48</v>
      </c>
      <c r="G41" s="6" t="s">
        <v>13</v>
      </c>
    </row>
    <row r="42" spans="1:7" x14ac:dyDescent="0.4">
      <c r="A42" s="27">
        <f t="shared" si="3"/>
        <v>5.3356481481481475E-3</v>
      </c>
      <c r="B42" s="26">
        <v>2.3148148148148147E-5</v>
      </c>
      <c r="C42" s="41"/>
      <c r="D42" s="6" t="s">
        <v>42</v>
      </c>
    </row>
    <row r="43" spans="1:7" ht="90" x14ac:dyDescent="0.4">
      <c r="A43" s="27">
        <f t="shared" si="3"/>
        <v>5.3587962962962955E-3</v>
      </c>
      <c r="B43" s="26">
        <v>4.0509259259259258E-4</v>
      </c>
      <c r="C43" s="41"/>
      <c r="D43" s="6" t="s">
        <v>94</v>
      </c>
      <c r="E43" s="6" t="s">
        <v>136</v>
      </c>
      <c r="G43" s="7"/>
    </row>
    <row r="44" spans="1:7" x14ac:dyDescent="0.4">
      <c r="A44" s="5">
        <f t="shared" si="3"/>
        <v>5.7638888888888878E-3</v>
      </c>
      <c r="B44" s="4">
        <v>1.1574074074074073E-5</v>
      </c>
      <c r="C44" s="41"/>
      <c r="D44" s="18" t="s">
        <v>49</v>
      </c>
      <c r="G44" s="7"/>
    </row>
    <row r="45" spans="1:7" x14ac:dyDescent="0.4">
      <c r="A45" s="27">
        <f t="shared" si="3"/>
        <v>5.7754629629629623E-3</v>
      </c>
      <c r="B45" s="26">
        <v>1.1574074074074073E-4</v>
      </c>
      <c r="C45" s="41"/>
      <c r="D45" s="8" t="s">
        <v>66</v>
      </c>
      <c r="E45" s="6" t="s">
        <v>65</v>
      </c>
      <c r="G45" s="7"/>
    </row>
    <row r="46" spans="1:7" ht="60" x14ac:dyDescent="0.4">
      <c r="A46" s="27">
        <f t="shared" si="3"/>
        <v>5.8912037037037032E-3</v>
      </c>
      <c r="B46" s="26">
        <v>4.0509259259259258E-4</v>
      </c>
      <c r="C46" s="40"/>
      <c r="D46" s="6" t="s">
        <v>67</v>
      </c>
      <c r="E46" s="6" t="s">
        <v>43</v>
      </c>
    </row>
    <row r="47" spans="1:7" ht="30" x14ac:dyDescent="0.4">
      <c r="A47" s="5">
        <f t="shared" ref="A47:A55" si="4">A46+B46</f>
        <v>6.2962962962962955E-3</v>
      </c>
      <c r="B47" s="4">
        <v>3.4722222222222222E-5</v>
      </c>
      <c r="C47" s="39" t="s">
        <v>17</v>
      </c>
      <c r="D47" s="6" t="s">
        <v>44</v>
      </c>
      <c r="E47" s="6" t="s">
        <v>109</v>
      </c>
    </row>
    <row r="48" spans="1:7" x14ac:dyDescent="0.4">
      <c r="A48" s="27">
        <f t="shared" si="4"/>
        <v>6.3310185185185179E-3</v>
      </c>
      <c r="B48" s="26">
        <v>4.6296296296296294E-5</v>
      </c>
      <c r="C48" s="41"/>
      <c r="D48" s="6" t="s">
        <v>113</v>
      </c>
      <c r="E48" s="6" t="s">
        <v>110</v>
      </c>
    </row>
    <row r="49" spans="1:7" x14ac:dyDescent="0.4">
      <c r="A49" s="27">
        <f t="shared" si="4"/>
        <v>6.377314814814814E-3</v>
      </c>
      <c r="B49" s="26">
        <v>5.7870370370370366E-5</v>
      </c>
      <c r="C49" s="41"/>
      <c r="D49" s="6" t="s">
        <v>114</v>
      </c>
      <c r="E49" s="6" t="s">
        <v>111</v>
      </c>
    </row>
    <row r="50" spans="1:7" ht="30" x14ac:dyDescent="0.4">
      <c r="A50" s="27">
        <f t="shared" si="4"/>
        <v>6.4351851851851844E-3</v>
      </c>
      <c r="B50" s="26">
        <v>6.9444444444444444E-5</v>
      </c>
      <c r="C50" s="41"/>
      <c r="D50" s="6" t="s">
        <v>112</v>
      </c>
      <c r="E50" s="6" t="s">
        <v>115</v>
      </c>
    </row>
    <row r="51" spans="1:7" x14ac:dyDescent="0.4">
      <c r="A51" s="27">
        <f t="shared" si="4"/>
        <v>6.5046296296296284E-3</v>
      </c>
      <c r="B51" s="26">
        <v>6.9444444444444444E-5</v>
      </c>
      <c r="C51" s="40"/>
      <c r="D51" s="6" t="s">
        <v>117</v>
      </c>
      <c r="E51" s="6" t="s">
        <v>116</v>
      </c>
    </row>
    <row r="52" spans="1:7" ht="45" x14ac:dyDescent="0.4">
      <c r="A52" s="5">
        <f t="shared" si="4"/>
        <v>6.5740740740740725E-3</v>
      </c>
      <c r="B52" s="4">
        <v>1.1574074074074073E-4</v>
      </c>
      <c r="C52" s="20"/>
      <c r="D52" s="6" t="s">
        <v>107</v>
      </c>
      <c r="E52" s="6" t="s">
        <v>53</v>
      </c>
    </row>
    <row r="53" spans="1:7" x14ac:dyDescent="0.4">
      <c r="A53" s="5">
        <f t="shared" si="4"/>
        <v>6.6898148148148134E-3</v>
      </c>
      <c r="B53" s="4">
        <v>1.1574074074074073E-4</v>
      </c>
      <c r="C53" s="39" t="s">
        <v>16</v>
      </c>
      <c r="D53" s="6" t="s">
        <v>36</v>
      </c>
      <c r="E53" s="6" t="s">
        <v>100</v>
      </c>
      <c r="F53" s="6" t="s">
        <v>15</v>
      </c>
    </row>
    <row r="54" spans="1:7" ht="120" x14ac:dyDescent="0.4">
      <c r="A54" s="5">
        <f t="shared" si="4"/>
        <v>6.8055555555555543E-3</v>
      </c>
      <c r="B54" s="4">
        <v>1.5046296296296294E-3</v>
      </c>
      <c r="C54" s="40"/>
      <c r="D54" s="6" t="s">
        <v>34</v>
      </c>
      <c r="G54" s="6" t="s">
        <v>54</v>
      </c>
    </row>
    <row r="55" spans="1:7" x14ac:dyDescent="0.4">
      <c r="A55" s="5">
        <f t="shared" si="4"/>
        <v>8.3101851851851843E-3</v>
      </c>
      <c r="C55" s="24" t="s">
        <v>52</v>
      </c>
    </row>
  </sheetData>
  <mergeCells count="7">
    <mergeCell ref="C4:C8"/>
    <mergeCell ref="C53:C54"/>
    <mergeCell ref="C41:C46"/>
    <mergeCell ref="C30:C40"/>
    <mergeCell ref="C47:C51"/>
    <mergeCell ref="C11:C13"/>
    <mergeCell ref="C14:C29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25715-BEED-42F5-8F10-9FEA1FF7F5C3}">
  <dimension ref="A1:D5"/>
  <sheetViews>
    <sheetView workbookViewId="0">
      <selection activeCell="F21" sqref="F21"/>
    </sheetView>
  </sheetViews>
  <sheetFormatPr defaultRowHeight="13.9" x14ac:dyDescent="0.4"/>
  <cols>
    <col min="1" max="1" width="4.796875" bestFit="1" customWidth="1"/>
    <col min="3" max="3" width="14.33203125" bestFit="1" customWidth="1"/>
  </cols>
  <sheetData>
    <row r="1" spans="1:4" x14ac:dyDescent="0.4">
      <c r="A1" s="1" t="s">
        <v>78</v>
      </c>
      <c r="B1" s="1" t="s">
        <v>79</v>
      </c>
      <c r="C1" s="1" t="s">
        <v>80</v>
      </c>
      <c r="D1" s="1" t="s">
        <v>81</v>
      </c>
    </row>
    <row r="2" spans="1:4" x14ac:dyDescent="0.4">
      <c r="A2">
        <v>1</v>
      </c>
      <c r="B2" s="1" t="s">
        <v>82</v>
      </c>
      <c r="C2" s="1" t="s">
        <v>83</v>
      </c>
    </row>
    <row r="3" spans="1:4" x14ac:dyDescent="0.4">
      <c r="A3">
        <v>2</v>
      </c>
      <c r="B3" s="1" t="s">
        <v>75</v>
      </c>
      <c r="C3" s="1" t="s">
        <v>85</v>
      </c>
    </row>
    <row r="4" spans="1:4" x14ac:dyDescent="0.4">
      <c r="A4">
        <v>3</v>
      </c>
      <c r="B4" s="1" t="s">
        <v>76</v>
      </c>
      <c r="C4" s="1" t="s">
        <v>84</v>
      </c>
    </row>
    <row r="5" spans="1:4" x14ac:dyDescent="0.4">
      <c r="A5">
        <v>4</v>
      </c>
      <c r="B5" t="s">
        <v>127</v>
      </c>
      <c r="C5" s="1" t="s">
        <v>128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1F29C-200F-4BB5-9251-208FEB1786B7}">
  <dimension ref="A1:D4"/>
  <sheetViews>
    <sheetView topLeftCell="A2" zoomScaleNormal="100" workbookViewId="0">
      <selection activeCell="C16" sqref="C16"/>
    </sheetView>
  </sheetViews>
  <sheetFormatPr defaultRowHeight="13.9" x14ac:dyDescent="0.4"/>
  <cols>
    <col min="1" max="1" width="10.59765625" bestFit="1" customWidth="1"/>
  </cols>
  <sheetData>
    <row r="1" spans="1:4" x14ac:dyDescent="0.4">
      <c r="B1" s="1" t="s">
        <v>90</v>
      </c>
      <c r="C1" s="1" t="s">
        <v>91</v>
      </c>
      <c r="D1" s="1" t="s">
        <v>92</v>
      </c>
    </row>
    <row r="2" spans="1:4" x14ac:dyDescent="0.4">
      <c r="A2" s="1" t="s">
        <v>87</v>
      </c>
      <c r="B2">
        <v>2</v>
      </c>
      <c r="C2">
        <v>10</v>
      </c>
      <c r="D2">
        <v>3</v>
      </c>
    </row>
    <row r="3" spans="1:4" x14ac:dyDescent="0.4">
      <c r="A3" s="1" t="s">
        <v>89</v>
      </c>
      <c r="B3">
        <v>10</v>
      </c>
      <c r="C3">
        <v>6</v>
      </c>
      <c r="D3">
        <v>5</v>
      </c>
    </row>
    <row r="4" spans="1:4" x14ac:dyDescent="0.4">
      <c r="A4" s="1" t="s">
        <v>88</v>
      </c>
      <c r="B4">
        <v>6</v>
      </c>
      <c r="C4">
        <v>1</v>
      </c>
      <c r="D4">
        <v>9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封标</vt:lpstr>
      <vt:lpstr>剧本</vt:lpstr>
      <vt:lpstr>素材引用</vt:lpstr>
      <vt:lpstr>雷达图制作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 Luo</dc:creator>
  <cp:lastModifiedBy>Jia Luo</cp:lastModifiedBy>
  <dcterms:created xsi:type="dcterms:W3CDTF">2015-06-02T18:17:20Z</dcterms:created>
  <dcterms:modified xsi:type="dcterms:W3CDTF">2026-04-15T08:08:28Z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ICV">
    <vt:lpwstr>95251f38eb8e4a5e87d14907551875f4</vt:lpwstr>
  </property>
</Properties>
</file>