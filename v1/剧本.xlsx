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932"/>
  <workbookPr defaultThemeVersion="153222"/>
  <bookViews>
    <workbookView xWindow="-98" yWindow="-98" windowWidth="28996" windowHeight="15675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<sst xmlns="http://schemas.openxmlformats.org/spreadsheetml/2006/main" uniqueCount="207" count="207">
  <si>
    <t>(无，纯音乐)</t>
  </si>
  <si>
    <t>开头5秒黄金时间，必须炸裂。</t>
  </si>
  <si>
    <t>​​序号​​</t>
  </si>
  <si>
    <t>​​时间戳 (预估)​​</t>
  </si>
  <si>
    <t>​​画面描述 (分镜)​​</t>
  </si>
  <si>
    <t>​​口播/字幕 (文案)​​</t>
  </si>
  <si>
    <t>​​背景音乐(BGM)/音效 (SFX)​​</t>
  </si>
  <si>
    <t>​​备注 (动作/道具/剪辑点)​​</t>
  </si>
  <si>
    <r>
      <t>成果展示，使用动态镜头视角（平移/缩放切换），演奏曲目（</t>
    </r>
    <r>
      <rPr>
        <charset val="134"/>
        <sz val="11"/>
        <color rgb="FFFF0000"/>
        <rFont val="微软雅黑"/>
      </rPr>
      <t>哆啦A梦？</t>
    </r>
    <r>
      <rPr>
        <charset val="134"/>
        <sz val="11"/>
        <color rgb="FF000000"/>
        <rFont val="微软雅黑"/>
      </rPr>
      <t>）</t>
    </r>
  </si>
  <si>
    <t>乐曲BGM</t>
  </si>
  <si>
    <t>频道名/LOGO展示</t>
  </si>
  <si>
    <t>TODO</t>
  </si>
  <si>
    <t>加加鸽</t>
  </si>
  <si>
    <t>时长</t>
  </si>
  <si>
    <t>看到钢尺演奏很有意思</t>
  </si>
  <si>
    <t>使用</t>
  </si>
  <si>
    <t>xab</t>
  </si>
  <si>
    <t>看到大神用钢尺演奏很有意思，于是就想模仿</t>
  </si>
  <si>
    <t>但是没那个能力</t>
  </si>
  <si>
    <t>所以只能用程序员的办法了</t>
  </si>
  <si>
    <t>钢尺君/杯鸽等演奏片段</t>
  </si>
  <si>
    <t>范大将军梗</t>
  </si>
  <si>
    <t>但是“没那个能力”</t>
  </si>
  <si>
    <t>程序猿图片</t>
  </si>
  <si>
    <t>所以我决定做一个可以自动演奏的钢尺</t>
  </si>
  <si>
    <t>哆啦A梦</t>
  </si>
  <si>
    <t>过长动画</t>
  </si>
  <si>
    <t>过长动画～</t>
  </si>
  <si>
    <t>过场动画动画～</t>
  </si>
  <si>
    <t>过场动画～</t>
  </si>
  <si>
    <t>我的最初版设计手稿</t>
  </si>
  <si>
    <t>但是太难了，我“没那个能力”</t>
  </si>
  <si>
    <t>要实现钢尺演奏，需要一个夹持装置，将钢尺夹紧</t>
  </si>
  <si>
    <t>要实现钢尺演奏，需要一个夹持装置将钢尺夹紧；一个直线运动机构改变钢尺的长短；一个拨动机构弹奏钢尺。于是我就先画一个草图</t>
  </si>
  <si>
    <t>接下来就按照草图来建模</t>
  </si>
  <si>
    <t>打印</t>
  </si>
  <si>
    <t>组装模型与硬件</t>
  </si>
  <si>
    <t>撸代码</t>
  </si>
  <si>
    <t>建模</t>
  </si>
  <si>
    <t>接下来就按照草图来初步设计，选择硬件</t>
  </si>
  <si>
    <t>《你若三冬》</t>
  </si>
  <si>
    <t>《你若三冬》DJ版</t>
  </si>
  <si>
    <t>演奏并配上\0/组成的动效</t>
  </si>
  <si>
    <t>验证版虽然已经可以演奏了，但速度与音准都不太理想，同时还需要使用串口发送音符比较不方便</t>
  </si>
  <si>
    <t>演奏并配上\0/\o/\O/\0/组成的动效</t>
  </si>
  <si>
    <t>掩饰曲目待定</t>
  </si>
  <si>
    <t>演示曲目待定</t>
  </si>
  <si>
    <t>验证版虽然已经可以演奏了，但速度与音准都不太理想，同时还需要使用串口发送音符比较不方便。硬件方面，使用开发板连线，集成度也太低了。</t>
  </si>
  <si>
    <t>使用手机</t>
  </si>
  <si>
    <t>所以接下来就要解决上述问题</t>
  </si>
  <si>
    <t>验证版虽然已经可以演奏了，但速度与音准都不太理想，同时还需要使用串口发送音符比较不方便。硬件方面，使用开发板连线，集成度也太低了。所以接下来就要解决上述问题</t>
  </si>
  <si>
    <t>验证版虽然已经可以演奏了，但存在挺多问题：速度与音准都不太理想，串口发送音符不方便。使用开发板连线，集成度低。</t>
  </si>
  <si>
    <t>新版本外形轮廓</t>
  </si>
  <si>
    <t>新版本外形轮廓（宝可梦——我是谁）</t>
  </si>
  <si>
    <t>新版本就要解决这些问题</t>
  </si>
  <si>
    <t xml:space="preserve">验证版虽然已经可以演奏了，但存在挺多问题：速度与音准都不太理想，串口发送音符不方便。使用开发板连线，集成度低。
</t>
  </si>
  <si>
    <t xml:space="preserve">验证版虽然已经可以演奏了，但存在挺多问题：速度与音准都不太理想，串口发送音符不方便。使用开发板连线，集成度低。
</t>
  </si>
  <si>
    <t>验证版虽然已经可以演奏了，但存在挺多问题：
速度与音准都不太理想，串口发送音符不方便。使用开发板连线，集成度低。</t>
  </si>
  <si>
    <t>验证版虽然已经可以演奏了，但存在挺多问题：
速度与音准都不太理想、串口发送音符不方便、使用开发板连线集成度低、录音不方便</t>
  </si>
  <si>
    <t>分屏
左半屏
右半屏：</t>
  </si>
  <si>
    <r>
      <t>成果展示，使用动态镜头视角（平移/缩放切换），演奏曲目（</t>
    </r>
    <r>
      <rPr>
        <charset val="134"/>
        <sz val="10"/>
        <color rgb="FFFF0000"/>
        <rFont val="微软雅黑"/>
      </rPr>
      <t>哆啦A梦？</t>
    </r>
    <r>
      <rPr>
        <charset val="134"/>
        <sz val="10"/>
        <color rgb="FF000000"/>
        <rFont val="微软雅黑"/>
      </rPr>
      <t>）</t>
    </r>
  </si>
  <si>
    <r>
      <t>成果展示，使用动态镜头视角（平移/缩放切换），演奏曲目（</t>
    </r>
    <r>
      <rPr>
        <charset val="134"/>
        <sz val="10"/>
        <color rgb="FFFF0000"/>
        <rFont val="serif"/>
      </rPr>
      <t>哆啦A梦？</t>
    </r>
    <r>
      <rPr>
        <charset val="134"/>
        <sz val="10"/>
        <color rgb="FF000000"/>
        <rFont val="serif"/>
      </rPr>
      <t>）</t>
    </r>
  </si>
  <si>
    <r>
      <rPr>
        <charset val="134"/>
        <sz val="10"/>
        <color rgb="FF000000"/>
        <rFont val="微软雅黑"/>
      </rPr>
      <t>成果展示，使用动态镜头视角（平移/缩放切换），演奏曲目（</t>
    </r>
    <r>
      <rPr>
        <charset val="134"/>
        <sz val="10"/>
        <color rgb="FFFF0000"/>
        <rFont val="微软雅黑"/>
      </rPr>
      <t>哆啦A梦？</t>
    </r>
    <r>
      <rPr>
        <charset val="134"/>
        <sz val="10"/>
        <color rgb="FF000000"/>
        <rFont val="微软雅黑"/>
      </rPr>
      <t>）</t>
    </r>
  </si>
  <si>
    <r>
      <rPr>
        <charset val="134"/>
        <sz val="10"/>
        <color indexed="16777215"/>
        <rFont val="微软雅黑"/>
      </rPr>
      <t>成果展示，使用动态镜头视角（平移/缩放切换），演奏曲目（</t>
    </r>
    <r>
      <rPr>
        <charset val="134"/>
        <sz val="10"/>
        <color indexed="16777215"/>
        <rFont val="微软雅黑"/>
      </rPr>
      <t>哆啦A梦？</t>
    </r>
    <r>
      <rPr>
        <charset val="134"/>
        <sz val="10"/>
        <color indexed="16777215"/>
        <rFont val="微软雅黑"/>
      </rPr>
      <t>）</t>
    </r>
  </si>
  <si>
    <r>
      <rPr>
        <charset val="134"/>
        <sz val="10"/>
        <color indexed="16777215"/>
        <rFont val="微软雅黑"/>
      </rPr>
      <t>成果展示，使用动态镜头视角（平移/缩放切换），演奏曲目（</t>
    </r>
    <r>
      <rPr>
        <charset val="134"/>
        <sz val="10"/>
        <color indexed="16777215"/>
        <rFont val="微软雅黑"/>
      </rPr>
      <t>哆啦A梦？</t>
    </r>
    <r>
      <rPr>
        <charset val="134"/>
        <sz val="10"/>
        <color indexed="16777215"/>
        <rFont val="微软雅黑"/>
      </rPr>
      <t>）</t>
    </r>
  </si>
  <si>
    <r>
      <rPr>
        <charset val="134"/>
        <sz val="10"/>
        <color rgb="FF000000"/>
        <rFont val="微软雅黑"/>
      </rPr>
      <t>成果展示，使用动态镜头视角（平移/缩放切换），演奏曲目（</t>
    </r>
    <r>
      <rPr>
        <charset val="134"/>
        <sz val="10"/>
        <color rgb="FF000000"/>
        <rFont val="微软雅黑"/>
      </rPr>
      <t>哆啦A梦？</t>
    </r>
    <r>
      <rPr>
        <charset val="134"/>
        <sz val="10"/>
        <color rgb="FF000000"/>
        <rFont val="微软雅黑"/>
      </rPr>
      <t>）</t>
    </r>
  </si>
  <si>
    <r>
      <rPr>
        <charset val="134"/>
        <sz val="10"/>
        <color rgb="FF000000"/>
        <rFont val="微软雅黑"/>
      </rPr>
      <t>成果展示，使用动态镜头视角（平移/缩放切换），演奏曲目（</t>
    </r>
    <r>
      <rPr>
        <charset val="134"/>
        <sz val="10"/>
        <color rgb="FF000000"/>
        <rFont val="微软雅黑"/>
      </rPr>
      <t>哆啦A梦？</t>
    </r>
    <r>
      <rPr>
        <charset val="134"/>
        <sz val="10"/>
        <color rgb="FF000000"/>
        <rFont val="微软雅黑"/>
      </rPr>
      <t>）</t>
    </r>
  </si>
  <si>
    <t>分屏
左半屏：视频展示
右半屏：问题依次浮现</t>
  </si>
  <si>
    <t>左半屏：视频展示
右半屏：问题依次浮现</t>
  </si>
  <si>
    <t>首先，速度问题最重要，因为速度不够，很多个曲目无法演奏</t>
  </si>
  <si>
    <t>钟》</t>
  </si>
  <si>
    <t>《钟》</t>
  </si>
  <si>
    <t>拆解一下当前演奏一个音符的流程：</t>
  </si>
  <si>
    <t xml:space="preserve">拆解一下当前演奏一个音符的流程：
</t>
  </si>
  <si>
    <t>拆解一下当前演奏一个音符的流程：
抬起舵机--&gt;移动钢尺--&gt;舵机按下--&gt;舵机拨动</t>
  </si>
  <si>
    <t>其中</t>
  </si>
  <si>
    <t>建模--&gt;打印--&gt;组装与连线--&gt; --&gt;</t>
  </si>
  <si>
    <t>建模--&gt;打印--&gt;组装与连线--&gt;撸代码</t>
  </si>
  <si>
    <t>相应的画面</t>
  </si>
  <si>
    <r>
      <rPr>
        <charset val="134"/>
        <vertAlign val="subscript"/>
        <sz val="16"/>
        <color rgb="FF000000"/>
        <rFont val="微软雅黑"/>
      </rPr>
      <t>cd</t>
    </r>
    <r>
      <rPr>
        <charset val="134"/>
        <vertAlign val="superscript"/>
        <sz val="16"/>
        <color rgb="FF000000"/>
        <rFont val="微软雅黑"/>
      </rPr>
      <t xml:space="preserve">    ab</t>
    </r>
  </si>
  <si>
    <t>其中舵机抬起与落下耗时最多，需要着重优化</t>
  </si>
  <si>
    <t>此前录制的慢放</t>
  </si>
  <si>
    <t>开头5秒黄金时间，必须炸裂。演示曲目待定</t>
  </si>
  <si>
    <t>首先想到的就是加快按压钢尺的动作，更换更快速的舵机。</t>
  </si>
  <si>
    <t>但仔细查找了一番之后发现，机械结构中：速度快、力量大、体积小是一个不可能三角，最多只能取其二</t>
  </si>
  <si>
    <t>这个三角的动效</t>
  </si>
  <si>
    <t>想到钢尺是铁的，可以使用电磁铁把它吸住</t>
  </si>
  <si>
    <t>这个三角的动效
舵机：力量大、体积小、速度慢
无刷电机：速度快、体积小，力量小</t>
  </si>
  <si>
    <t>但仔细查找了一番之后发现，机械结构中：速度快、力量大、体积小是一个不可能三角，最多只能取其二
sg90舵机：力量大、体积小、速度慢
foc无刷电机：速度快、体积小，力量小
42步进电机：速度快、力量大、体积大</t>
  </si>
  <si>
    <t>三角动效，配上不同的器件</t>
  </si>
  <si>
    <t>此前录制的慢放视频</t>
  </si>
  <si>
    <t>买回来测试，效果很好</t>
  </si>
  <si>
    <t>其次，使用</t>
  </si>
  <si>
    <t>其次，丝杆步进电机</t>
  </si>
  <si>
    <t>但仔细查找了一番之后发现，机械结构中：速度快、力量大、体积小是一个不可能三角，最多只能取其二
sg90舵机：力量大、体积小、速度慢
foc无刷电机：速度快、体积小，力量小
3D打印机常用的42步进电机：速度快、力量大、体积大</t>
  </si>
  <si>
    <t>其次，丝杆步进电机，</t>
  </si>
  <si>
    <t>其次，丝杆步进电机，的移动速度也加快。参考光驱中的设计，需要增加导轨，减小阻力</t>
  </si>
  <si>
    <t>华强买瓜</t>
  </si>
  <si>
    <t>”</t>
  </si>
  <si>
    <t>“华强买瓜”</t>
  </si>
  <si>
    <t>那，吸铁石（华强买瓜语音）</t>
  </si>
  <si>
    <t>画中画）</t>
  </si>
  <si>
    <t>电磁铁吸住钢尺
画中画华强：买瓜</t>
  </si>
  <si>
    <t>电磁铁吸住钢尺
画中画：华强买瓜</t>
  </si>
  <si>
    <t>光驱内部结构</t>
  </si>
  <si>
    <t>两外，丝杆步进电机，的移动速度也加快。参考光驱中的设计，需要增加导轨，减小阻力</t>
  </si>
  <si>
    <t>其次，就要优化音准。此前是在桌面测试了几个长度的音高，换算出频率-长度函数。但这样并不准确</t>
  </si>
  <si>
    <t>其次，就要优化音准。此前是在桌面测试了几个长度的音高，换算出频率-长度函数。但这样人工测量非常耗时，而且并不准确</t>
  </si>
  <si>
    <t>拨动钢尺，用手机测量频率</t>
  </si>
  <si>
    <t>实现自动调音，加入麦克风</t>
  </si>
  <si>
    <t>验证版虽然已经可以演奏了，但存在挺多问题：
速度与音准都不太理想、串口发送音符不方便、使用开发板连线集成度低</t>
  </si>
  <si>
    <t>添加一个麦克风，使用程序控制拨动钢尺的不同长度，对麦克风采集到的音频进行傅里叶变换，得到相应的频率</t>
  </si>
  <si>
    <t>添加一个麦克风，使用程序控制拨动钢尺的不同长度，对麦克风采集到的音频进行傅里叶变换，得到频率。最终拟合出一个高精度的频率-步数(step)函数</t>
  </si>
  <si>
    <t>使用串口发送音符，很不方便。</t>
  </si>
  <si>
    <t>主流的电子乐器与宿主软件都支持midi输入输出。并且所以决定使用usb midi</t>
  </si>
  <si>
    <t>主流的电子乐器与宿主软件都支持midi输入输出。并且esp32s3开发板刚好有usb接口，所以决定使用usb midi作为音乐接口</t>
  </si>
  <si>
    <t>MIDI简介</t>
  </si>
  <si>
    <t>----------------</t>
  </si>
  <si>
    <t>使用串口发送音符，很不方便，也不能兼容主流乐谱。</t>
  </si>
  <si>
    <t>使用串口发送音符，很不方便，还需要自己手写乐谱。</t>
  </si>
  <si>
    <t>MIDI简介（待补充）</t>
  </si>
  <si>
    <t>按照新的设计</t>
  </si>
  <si>
    <t>其中舵机抬起与落下耗时最多，需要着重优化。首先想到的就是加快按压钢尺的动作，更换更快速的舵机。</t>
  </si>
  <si>
    <t>麦克风--》</t>
  </si>
  <si>
    <t>麦克风--&gt;正弦信号--&gt;频率图</t>
  </si>
  <si>
    <t>按照新的设计：建模--&gt;打印--&gt;组装与连线--&gt;撸代码--&gt;--&gt;</t>
  </si>
  <si>
    <t>按照新的设计：建模--&gt;打印--&gt;组装与连线--&gt;撸代码</t>
  </si>
  <si>
    <t>相应的画面（快放）</t>
  </si>
  <si>
    <t>测试OK</t>
  </si>
  <si>
    <t>测试画面（）</t>
  </si>
  <si>
    <t>测试画面</t>
  </si>
  <si>
    <t>测试（待补充）</t>
  </si>
  <si>
    <t>验证方案可行后，就要把这坨东西整合起来了</t>
  </si>
  <si>
    <t>杂乱的开发板连线</t>
  </si>
  <si>
    <t>首先需要画一个电路板，把开发板与各种元器件连接起来</t>
  </si>
  <si>
    <t>连线图</t>
  </si>
  <si>
    <t>既然为了调音增加了麦克风硬件，那为什么不物尽其用呢？</t>
  </si>
  <si>
    <t>主流的电子乐器与宿主软件都支持midi输入输出。所以决定使用usb midi作为音乐接口</t>
  </si>
  <si>
    <t>既然为了调音增加了麦克风硬件，那为什么不物尽其用呢？esp32s3开发板刚好有usb接口，可以集成一个usb麦克风，用来录音。</t>
  </si>
  <si>
    <t>首先需一个电路板，把开发板与各种元器件连接起来</t>
  </si>
  <si>
    <t>pcb</t>
  </si>
  <si>
    <t>原理图/pcb</t>
  </si>
  <si>
    <t>pcb展示</t>
  </si>
  <si>
    <t>响指</t>
  </si>
  <si>
    <t>在屏幕前打一个响指，从屏幕中取出PCB</t>
  </si>
  <si>
    <t>焊接各种功能元件</t>
  </si>
  <si>
    <t>几个焊接特写</t>
  </si>
  <si>
    <t>BGM待添加</t>
  </si>
  <si>
    <t>重新建模，将主板与钢尺、电机等整合在一起</t>
  </si>
  <si>
    <t>模型爆炸图</t>
  </si>
  <si>
    <t>3d打印延迟摄影</t>
  </si>
  <si>
    <t>取出模型</t>
  </si>
  <si>
    <t>一些组装的特写，待补充</t>
  </si>
  <si>
    <t>组装过程特写：</t>
  </si>
  <si>
    <t>组装过程特写：
以安装卡扣，拧螺丝为主</t>
  </si>
  <si>
    <t>成品展示：使用旋转展示台</t>
  </si>
  <si>
    <t>哆啦A梦掏出物品：自动演奏的钢尺</t>
  </si>
  <si>
    <t>首先要想一个基本的设计方案</t>
  </si>
  <si>
    <t>这里我使用</t>
  </si>
  <si>
    <t>这里我使用光驱的丝杆步进电机</t>
  </si>
  <si>
    <t>首先要设计一个原型机，验证一下方案可行性。基本思路是：体积小巧，价格便宜，方便复刻</t>
  </si>
  <si>
    <t>首先要设计一个原型机，验证一下方案可行性。基本思路是：体积小巧，价格便宜</t>
  </si>
  <si>
    <t>为了更方便复刻，就只使用</t>
  </si>
  <si>
    <t>为了更方便复刻，就只使用成品模块，不做单独的pcb了</t>
  </si>
  <si>
    <t>首先需一个电路板，各种元器件连接起来</t>
  </si>
  <si>
    <t>接下来就到了我的舒适区，撸代码</t>
  </si>
  <si>
    <t>使用光驱的丝杆步进电机来控制钢尺移动，使用2个舵机分别压住钢尺与弹拨钢尺</t>
  </si>
  <si>
    <t>设计图展示+器件特写</t>
  </si>
  <si>
    <t>接下来就到了程序猿的舒适区，撸代码</t>
  </si>
  <si>
    <t>电磁铁的驱动、fft</t>
  </si>
  <si>
    <t>主要模块的代码展示</t>
  </si>
  <si>
    <t>编译、烧写、启动</t>
  </si>
  <si>
    <t>接下来就到了程序猿的舒适区，撸代码！！！</t>
  </si>
  <si>
    <t>在写了亿点点代码，解决了亿点点bug之后，终于</t>
  </si>
  <si>
    <t>王国之泪BGM</t>
  </si>
  <si>
    <t>插入电源、数据线、连接宿主软件、播放音乐（塞尔达主题曲）</t>
  </si>
  <si>
    <t>插入电源、数据线、连接宿主软件、</t>
  </si>
  <si>
    <t>开始弹奏后，bgm关掉</t>
  </si>
  <si>
    <t>nice</t>
  </si>
  <si>
    <t>nice老哥</t>
  </si>
  <si>
    <t>你甚至于可以用它来当做一个麦克风用</t>
  </si>
  <si>
    <t>手持钢尺琴唱歌</t>
  </si>
  <si>
    <t>歌曲待定</t>
  </si>
  <si>
    <t>一只钢尺演奏难免有些单调，于是我有做了两个，组成3个声部。下面就来演奏一个卡农</t>
  </si>
  <si>
    <t>一只钢尺演奏难免有些单调，于是我又做了两个，组成3个声部。下面就来演奏一个卡农</t>
  </si>
  <si>
    <t>一只钢尺演奏难免有些单调，于是我又做了两个，组成成和声</t>
  </si>
  <si>
    <t>演奏卡农</t>
  </si>
  <si>
    <t>由于钢尺本身还有一个</t>
  </si>
  <si>
    <t>一只钢尺演奏难免有些单调，于是我又做了两个，组成成和声。最后以卡农来结尾吧。</t>
  </si>
  <si>
    <t>由于有mic，还可以对音色进行一些处理</t>
  </si>
  <si>
    <t>插入电源、数据线、连接宿主软件、使用MIDI键盘弹奏塞尔达主题曲</t>
  </si>
  <si>
    <t>由于有mic，还可以对声音进行一些处理，比如对强弱的支持，添加一些效果器等等</t>
  </si>
  <si>
    <t>midi键盘演示强弱、歌曲演示效果器</t>
  </si>
  <si>
    <t>一只钢尺演奏难免有些单调，</t>
  </si>
  <si>
    <t>于是我又做了两个，组成成和声。最后以卡农来结尾吧。</t>
  </si>
  <si>
    <t>一只钢尺演奏难免有些单调，所以我希望组一个文具乐队。</t>
  </si>
  <si>
    <t>动次打次</t>
  </si>
  <si>
    <t>pen beats演示</t>
  </si>
  <si>
    <t>演示</t>
  </si>
  <si>
    <t>笔吹奏演示</t>
  </si>
  <si>
    <t>打击声部pen beats演示</t>
  </si>
  <si>
    <t>打击乐：动次打次</t>
  </si>
  <si>
    <t>管乐</t>
  </si>
  <si>
    <t>不过上面这些还没有实现，如果这类视频观众朋友门喜欢，我后续会做。</t>
  </si>
  <si>
    <t>又做了两个，组成成和声。最后以卡农来结尾吧。</t>
  </si>
  <si>
    <t>增加两个，组成三声部，以卡农为结尾</t>
  </si>
  <si>
    <t>无</t>
  </si>
</sst>
</file>

<file path=xl/styles.xml><?xml version="1.0" encoding="utf-8"?>
<styleSheet xmlns="http://schemas.openxmlformats.org/spreadsheetml/2006/main">
  <numFmts count="3">
    <numFmt numFmtId="0" formatCode="General"/>
    <numFmt numFmtId="45" formatCode="mm:ss"/>
    <numFmt numFmtId="21" formatCode="h:mm:ss"/>
  </numFmts>
  <fonts count="6">
    <font>
      <name val="等线"/>
      <sz val="11"/>
    </font>
    <font>
      <name val="微软雅黑"/>
      <charset val="134"/>
      <sz val="11"/>
      <color rgb="FF000000"/>
    </font>
    <font>
      <name val="微软雅黑"/>
      <b/>
      <charset val="134"/>
      <sz val="11"/>
      <color rgb="FF000000"/>
    </font>
    <font>
      <name val="微软雅黑"/>
      <charset val="134"/>
      <sz val="11"/>
      <color rgb="FFFF0000"/>
    </font>
    <font>
      <name val="微软雅黑"/>
      <charset val="134"/>
      <sz val="11"/>
      <color rgb="FF000000"/>
    </font>
    <font>
      <name val="等线"/>
      <sz val="11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vertical="bottom" wrapText="1"/>
    </xf>
    <xf numFmtId="0" fontId="1" fillId="0" borderId="0" xfId="0" applyFont="1" applyAlignment="1">
      <alignment vertical="bottom" wrapText="1"/>
    </xf>
    <xf numFmtId="0" fontId="2" fillId="2" borderId="1" xfId="0" applyFont="1" applyFill="1" applyBorder="1" applyAlignment="1">
      <alignment vertical="bottom" wrapText="1"/>
    </xf>
    <xf numFmtId="45" fontId="1" fillId="0" borderId="1" xfId="0" applyNumberFormat="1" applyFont="1" applyBorder="1" applyAlignment="1">
      <alignment vertical="bottom" wrapText="1"/>
    </xf>
    <xf numFmtId="21" fontId="1" fillId="0" borderId="1" xfId="0" applyNumberFormat="1" applyFont="1" applyBorder="1" applyAlignment="1">
      <alignment vertical="bottom" wrapText="1"/>
    </xf>
    <xf numFmtId="0" fontId="3" fillId="0" borderId="1" xfId="0" applyFont="1" applyBorder="1" applyAlignment="1">
      <alignment vertical="bottom" wrapText="1"/>
    </xf>
    <xf numFmtId="45" fontId="1" fillId="0" borderId="2" xfId="0" applyNumberFormat="1" applyFont="1" applyBorder="1" applyAlignment="1">
      <alignment vertical="bottom" wrapText="1"/>
    </xf>
    <xf numFmtId="21" fontId="1" fillId="0" borderId="2" xfId="0" applyNumberFormat="1" applyFont="1" applyBorder="1" applyAlignment="1">
      <alignment vertical="bottom" wrapText="1"/>
    </xf>
    <xf numFmtId="0" fontId="2" fillId="0" borderId="2" xfId="0" applyFont="1" applyBorder="1" applyAlignment="1">
      <alignment vertical="bottom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bottom" wrapText="1"/>
    </xf>
    <xf numFmtId="0" fontId="1" fillId="0" borderId="3" xfId="0" applyFont="1" applyBorder="1" applyAlignment="1">
      <alignment vertical="bottom" wrapText="1"/>
    </xf>
    <xf numFmtId="0" fontId="3" fillId="0" borderId="3" xfId="0" applyFont="1" applyBorder="1" applyAlignment="1">
      <alignment vertical="bottom" wrapText="1"/>
    </xf>
    <xf numFmtId="0" fontId="1" fillId="0" borderId="4" xfId="0" applyFont="1" applyBorder="1" applyAlignment="1">
      <alignment vertical="bottom" wrapText="1"/>
    </xf>
    <xf numFmtId="0" fontId="5" fillId="0" borderId="1" xfId="0" applyBorder="1">
      <alignment vertical="center"/>
    </xf>
    <xf numFmtId="0" fontId="1" fillId="0" borderId="5" xfId="0" applyFont="1" applyBorder="1" applyAlignment="1">
      <alignment vertical="bottom" wrapText="1"/>
    </xf>
    <xf numFmtId="0" fontId="5" fillId="0" borderId="0" xfId="0" applyBorder="1">
      <alignment vertical="center"/>
    </xf>
    <xf numFmtId="0" fontId="1" fillId="0" borderId="2" xfId="0" applyFont="1" applyBorder="1" applyAlignment="1">
      <alignment vertical="bottom" wrapText="1"/>
    </xf>
    <xf numFmtId="0" fontId="1" fillId="0" borderId="6" xfId="0" applyFont="1" applyBorder="1" applyAlignment="1">
      <alignment vertical="bottom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57"/>
  <sheetViews>
    <sheetView tabSelected="1" workbookViewId="0" zoomScale="75">
      <selection activeCell="E12" sqref="E12"/>
    </sheetView>
  </sheetViews>
  <sheetFormatPr defaultRowHeight="28.05" customHeight="1" defaultColWidth="10"/>
  <cols>
    <col min="1" max="1" customWidth="1" bestFit="1" width="4.9296875" style="1"/>
    <col min="2" max="2" customWidth="1" bestFit="1" width="6.1992188" style="1"/>
    <col min="3" max="3" customWidth="1" bestFit="1" width="13.1328125" style="1"/>
    <col min="4" max="4" customWidth="1" width="68.71094" style="1"/>
    <col min="5" max="5" customWidth="1" bestFit="1" width="75.66406" style="1"/>
    <col min="6" max="6" customWidth="1" bestFit="1" width="29.199219" style="1"/>
    <col min="7" max="7" customWidth="1" bestFit="1" width="38.796875" style="1"/>
    <col min="8" max="16384" customWidth="0" width="9.066406" style="2"/>
  </cols>
  <sheetData>
    <row r="1" spans="8:8" ht="28.05" customHeight="1">
      <c r="A1" s="3" t="s">
        <v>2</v>
      </c>
      <c r="B1" s="3" t="s">
        <v>13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8:8" ht="28.05" customHeight="1">
      <c r="A2" s="1">
        <v>1.0</v>
      </c>
      <c r="B2" s="4">
        <v>1.1574074074074073E-4</v>
      </c>
      <c r="C2" s="5">
        <v>0.0</v>
      </c>
      <c r="D2" s="1" t="s">
        <v>8</v>
      </c>
      <c r="E2" s="1" t="s">
        <v>0</v>
      </c>
      <c r="F2" s="1" t="s">
        <v>9</v>
      </c>
      <c r="G2" s="1" t="s">
        <v>82</v>
      </c>
    </row>
    <row r="3" spans="8:8" ht="28.05" customHeight="1">
      <c r="A3" s="1">
        <v>2.0</v>
      </c>
      <c r="B3" s="4">
        <v>5.7870370370370366E-5</v>
      </c>
      <c r="C3" s="5">
        <f>C2+B2</f>
        <v>1.15740740740741E-4</v>
      </c>
      <c r="D3" s="1" t="s">
        <v>10</v>
      </c>
      <c r="E3" s="1" t="s">
        <v>12</v>
      </c>
      <c r="F3" s="6" t="s">
        <v>11</v>
      </c>
    </row>
    <row r="4" spans="8:8" ht="28.05" customHeight="1">
      <c r="A4" s="1">
        <v>3.0</v>
      </c>
      <c r="B4" s="4">
        <v>0.0</v>
      </c>
      <c r="C4" s="5">
        <f>C3+B3</f>
        <v>1.7361111111111142E-4</v>
      </c>
      <c r="D4" s="1" t="s">
        <v>20</v>
      </c>
      <c r="E4" s="1" t="s">
        <v>17</v>
      </c>
    </row>
    <row r="5" spans="8:8" ht="28.05" customHeight="1">
      <c r="A5" s="1">
        <v>4.0</v>
      </c>
      <c r="B5" s="4">
        <v>0.0</v>
      </c>
      <c r="C5" s="5">
        <f>C4+B4</f>
        <v>1.73611111111111E-4</v>
      </c>
      <c r="D5" s="1" t="s">
        <v>21</v>
      </c>
      <c r="E5" s="1" t="s">
        <v>31</v>
      </c>
    </row>
    <row r="6" spans="8:8" ht="28.05" customHeight="1">
      <c r="A6" s="1">
        <v>5.0</v>
      </c>
      <c r="B6" s="4">
        <v>0.0</v>
      </c>
      <c r="C6" s="5">
        <f>C5+B5</f>
        <v>1.73611111111111E-4</v>
      </c>
      <c r="D6" s="1" t="s">
        <v>23</v>
      </c>
      <c r="E6" s="1" t="s">
        <v>19</v>
      </c>
    </row>
    <row r="7" spans="8:8" ht="28.05" customHeight="1">
      <c r="B7" s="4"/>
      <c r="C7" s="5"/>
      <c r="D7" s="1" t="s">
        <v>156</v>
      </c>
      <c r="E7" s="1" t="s">
        <v>24</v>
      </c>
    </row>
    <row r="8" spans="8:8" ht="28.05" customHeight="1">
      <c r="B8" s="7"/>
      <c r="C8" s="8"/>
      <c r="D8" s="9" t="s">
        <v>29</v>
      </c>
    </row>
    <row r="9" spans="8:8" ht="28.05" customFormat="1">
      <c r="A9" s="10"/>
      <c r="B9" s="4"/>
      <c r="C9" s="5"/>
      <c r="D9" s="11"/>
      <c r="E9" s="10" t="s">
        <v>161</v>
      </c>
      <c r="F9" s="10"/>
      <c r="G9" s="10"/>
    </row>
    <row r="10" spans="8:8" ht="28.05" customFormat="1">
      <c r="A10" s="10"/>
      <c r="B10" s="4"/>
      <c r="C10" s="5"/>
      <c r="D10" s="11" t="s">
        <v>167</v>
      </c>
      <c r="E10" s="10" t="s">
        <v>166</v>
      </c>
      <c r="F10" s="10"/>
      <c r="G10" s="10"/>
    </row>
    <row r="11" spans="8:8" ht="28.05" customHeight="1">
      <c r="B11" s="4"/>
      <c r="C11" s="5"/>
      <c r="D11" s="1" t="s">
        <v>127</v>
      </c>
      <c r="E11" s="1" t="s">
        <v>77</v>
      </c>
    </row>
    <row r="12" spans="8:8" ht="28.05" customHeight="1">
      <c r="B12" s="4"/>
      <c r="C12" s="5"/>
      <c r="D12" s="1" t="s">
        <v>44</v>
      </c>
      <c r="E12"/>
      <c r="F12" s="12" t="s">
        <v>41</v>
      </c>
      <c r="G12" s="13" t="s">
        <v>46</v>
      </c>
    </row>
    <row r="13" spans="8:8" ht="28.05" customHeight="1">
      <c r="B13" s="4"/>
      <c r="C13" s="5"/>
      <c r="D13" s="1" t="s">
        <v>68</v>
      </c>
      <c r="E13" s="14" t="s">
        <v>110</v>
      </c>
      <c r="F13" s="15"/>
      <c r="G13" s="15"/>
    </row>
    <row r="14" spans="8:8" ht="28.05" customHeight="1">
      <c r="B14" s="4"/>
      <c r="C14" s="5"/>
      <c r="D14"/>
      <c r="E14" s="14" t="s">
        <v>54</v>
      </c>
      <c r="F14" s="15"/>
      <c r="G14" s="15"/>
    </row>
    <row r="15" spans="8:8" ht="28.05" customHeight="1">
      <c r="B15" s="4"/>
      <c r="C15" s="5"/>
      <c r="D15" s="12" t="s">
        <v>71</v>
      </c>
      <c r="E15" s="14" t="s">
        <v>69</v>
      </c>
      <c r="F15" s="15"/>
      <c r="G15" s="13" t="s">
        <v>46</v>
      </c>
    </row>
    <row r="16" spans="8:8" ht="28.05">
      <c r="D16" s="15" t="s">
        <v>90</v>
      </c>
      <c r="E16" s="16" t="s">
        <v>74</v>
      </c>
      <c r="F16" s="15"/>
      <c r="G16" s="15"/>
    </row>
    <row r="17" spans="8:8" ht="28.05" customHeight="1">
      <c r="D17" s="17"/>
      <c r="E17" s="14" t="s">
        <v>122</v>
      </c>
      <c r="F17" s="15"/>
      <c r="G17" s="15"/>
    </row>
    <row r="18" spans="8:8" ht="54.15">
      <c r="D18" s="1" t="s">
        <v>89</v>
      </c>
      <c r="E18" s="1" t="s">
        <v>94</v>
      </c>
    </row>
    <row r="19" spans="8:8" ht="28.05">
      <c r="D19" s="1" t="s">
        <v>103</v>
      </c>
      <c r="E19" s="1" t="s">
        <v>86</v>
      </c>
      <c r="F19" s="1" t="s">
        <v>100</v>
      </c>
    </row>
    <row r="20" spans="8:8" ht="28.05">
      <c r="D20" s="1" t="s">
        <v>104</v>
      </c>
      <c r="E20" s="1" t="s">
        <v>105</v>
      </c>
    </row>
    <row r="21" spans="8:8" ht="28.05">
      <c r="D21" s="1" t="s">
        <v>117</v>
      </c>
      <c r="E21" s="1"/>
    </row>
    <row r="22" spans="8:8" ht="28.05" customHeight="1">
      <c r="D22" s="1" t="s">
        <v>108</v>
      </c>
      <c r="E22" s="1" t="s">
        <v>107</v>
      </c>
    </row>
    <row r="23" spans="8:8" ht="28.05">
      <c r="D23" s="18" t="s">
        <v>124</v>
      </c>
      <c r="E23" s="18" t="s">
        <v>112</v>
      </c>
    </row>
    <row r="24" spans="8:8" ht="28.05" customFormat="1">
      <c r="A24" s="10"/>
      <c r="B24" s="10"/>
      <c r="C24" s="10"/>
      <c r="D24" s="19" t="s">
        <v>117</v>
      </c>
      <c r="E24" s="1"/>
      <c r="F24" s="10"/>
      <c r="G24" s="10"/>
    </row>
    <row r="25" spans="8:8" ht="28.05" customFormat="1">
      <c r="A25" s="10"/>
      <c r="B25" s="10"/>
      <c r="C25" s="10"/>
      <c r="D25" s="1"/>
      <c r="E25" s="1" t="s">
        <v>138</v>
      </c>
      <c r="F25" s="10"/>
      <c r="G25" s="10"/>
    </row>
    <row r="26" spans="8:8" ht="28.05">
      <c r="D26" s="19" t="s">
        <v>117</v>
      </c>
    </row>
    <row r="27" spans="8:8" ht="28.05">
      <c r="E27" s="1" t="s">
        <v>119</v>
      </c>
    </row>
    <row r="28" spans="8:8" ht="28.05">
      <c r="D28" s="1" t="s">
        <v>116</v>
      </c>
      <c r="E28" s="6" t="s">
        <v>120</v>
      </c>
    </row>
    <row r="29" spans="8:8" ht="28.05">
      <c r="E29" s="1" t="s">
        <v>137</v>
      </c>
    </row>
    <row r="30" spans="8:8" ht="28.05">
      <c r="D30" s="1" t="s">
        <v>117</v>
      </c>
    </row>
    <row r="31" spans="8:8" ht="28.05">
      <c r="D31" s="1" t="s">
        <v>127</v>
      </c>
      <c r="E31" s="1" t="s">
        <v>126</v>
      </c>
    </row>
    <row r="32" spans="8:8" ht="28.05">
      <c r="D32" s="1" t="s">
        <v>130</v>
      </c>
      <c r="E32" s="6" t="s">
        <v>131</v>
      </c>
    </row>
    <row r="33" spans="8:8" ht="28.05">
      <c r="D33" s="1" t="s">
        <v>117</v>
      </c>
    </row>
    <row r="34" spans="8:8" ht="28.05">
      <c r="D34" s="1" t="s">
        <v>133</v>
      </c>
      <c r="E34" s="1" t="s">
        <v>132</v>
      </c>
    </row>
    <row r="35" spans="8:8" ht="28.05">
      <c r="D35" s="1" t="s">
        <v>135</v>
      </c>
      <c r="E35" s="1" t="s">
        <v>164</v>
      </c>
    </row>
    <row r="36" spans="8:8" ht="28.05">
      <c r="D36" s="1" t="s">
        <v>141</v>
      </c>
      <c r="E36" s="1" t="s">
        <v>163</v>
      </c>
    </row>
    <row r="37" spans="8:8" ht="28.05">
      <c r="D37" s="1" t="s">
        <v>144</v>
      </c>
      <c r="F37" s="1" t="s">
        <v>143</v>
      </c>
    </row>
    <row r="38" spans="8:8" ht="28.05">
      <c r="D38" s="1" t="s">
        <v>146</v>
      </c>
      <c r="E38" s="1"/>
      <c r="F38" s="6" t="s">
        <v>147</v>
      </c>
    </row>
    <row r="39" spans="8:8" ht="28.05">
      <c r="D39" s="1" t="s">
        <v>149</v>
      </c>
      <c r="E39" s="1" t="s">
        <v>148</v>
      </c>
      <c r="F39" s="6" t="s">
        <v>147</v>
      </c>
    </row>
    <row r="40" spans="8:8">
      <c r="D40" s="1" t="s">
        <v>150</v>
      </c>
      <c r="F40" s="6" t="s">
        <v>147</v>
      </c>
    </row>
    <row r="41" spans="8:8">
      <c r="D41" s="1" t="s">
        <v>151</v>
      </c>
      <c r="F41" s="6" t="s">
        <v>147</v>
      </c>
    </row>
    <row r="42" spans="8:8">
      <c r="D42" s="1" t="s">
        <v>154</v>
      </c>
      <c r="F42" s="6" t="s">
        <v>147</v>
      </c>
    </row>
    <row r="43" spans="8:8">
      <c r="D43" s="1" t="s">
        <v>155</v>
      </c>
      <c r="F43" s="6" t="s">
        <v>147</v>
      </c>
    </row>
    <row r="44" spans="8:8">
      <c r="D44" s="1" t="s">
        <v>170</v>
      </c>
      <c r="E44" s="1" t="s">
        <v>172</v>
      </c>
    </row>
    <row r="45" spans="8:8">
      <c r="D45" s="1"/>
      <c r="E45" s="1" t="s">
        <v>173</v>
      </c>
    </row>
    <row r="46" spans="8:8">
      <c r="D46" s="1" t="s">
        <v>190</v>
      </c>
      <c r="F46" s="1" t="s">
        <v>174</v>
      </c>
      <c r="G46" s="1" t="s">
        <v>177</v>
      </c>
    </row>
    <row r="47" spans="8:8">
      <c r="D47" s="1" t="s">
        <v>179</v>
      </c>
    </row>
    <row r="48" spans="8:8">
      <c r="D48" s="1" t="s">
        <v>192</v>
      </c>
      <c r="E48" s="1" t="s">
        <v>191</v>
      </c>
    </row>
    <row r="49" spans="8:8">
      <c r="E49" s="1" t="s">
        <v>195</v>
      </c>
    </row>
    <row r="50" spans="8:8">
      <c r="D50" s="1" t="s">
        <v>199</v>
      </c>
      <c r="E50" s="1" t="s">
        <v>202</v>
      </c>
    </row>
    <row r="51" spans="8:8">
      <c r="D51" s="1" t="s">
        <v>197</v>
      </c>
      <c r="E51" s="1" t="s">
        <v>201</v>
      </c>
    </row>
    <row r="52" spans="8:8">
      <c r="E52" s="1" t="s">
        <v>203</v>
      </c>
    </row>
    <row r="53" spans="8:8">
      <c r="E53" s="1" t="s">
        <v>205</v>
      </c>
    </row>
    <row r="54" spans="8:8">
      <c r="D54" s="1" t="s">
        <v>186</v>
      </c>
      <c r="F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Jia Luo</dc:creator>
  <cp:lastModifiedBy>Jia Luo</cp:lastModifiedBy>
  <dcterms:created xsi:type="dcterms:W3CDTF">2015-06-02T18:17:20Z</dcterms:created>
  <dcterms:modified xsi:type="dcterms:W3CDTF">2025-08-11T08:57:21Z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95251f38eb8e4a5e87d14907551875f4</vt:lpwstr>
  </property>
</Properties>
</file>