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7" lowestEdited="6" rupBuild="27932"/>
  <workbookPr defaultThemeVersion="153222"/>
  <bookViews>
    <workbookView xWindow="-98" yWindow="-98" windowWidth="28996" windowHeight="15675" activeTab="0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<sst xmlns="http://schemas.openxmlformats.org/spreadsheetml/2006/main" uniqueCount="136" count="136">
  <si>
    <t>(无，纯音乐)</t>
  </si>
  <si>
    <t>开头5秒黄金时间，必须炸裂。</t>
  </si>
  <si>
    <t>​​序号​​</t>
  </si>
  <si>
    <t>​​时间戳 (预估)​​</t>
  </si>
  <si>
    <t>​​画面描述 (分镜)​​</t>
  </si>
  <si>
    <t>​​口播/字幕 (文案)​​</t>
  </si>
  <si>
    <t>​​背景音乐(BGM)/音效 (SFX)​​</t>
  </si>
  <si>
    <t>​​备注 (动作/道具/剪辑点)​​</t>
  </si>
  <si>
    <r>
      <t>成果展示，使用动态镜头视角（平移/缩放切换），演奏曲目（</t>
    </r>
    <r>
      <rPr>
        <charset val="134"/>
        <sz val="11"/>
        <color rgb="FFFF0000"/>
        <rFont val="微软雅黑"/>
      </rPr>
      <t>哆啦A梦？</t>
    </r>
    <r>
      <rPr>
        <charset val="134"/>
        <sz val="11"/>
        <color rgb="FF000000"/>
        <rFont val="微软雅黑"/>
      </rPr>
      <t>）</t>
    </r>
  </si>
  <si>
    <t>乐曲BGM</t>
  </si>
  <si>
    <t>频道名/LOGO展示</t>
  </si>
  <si>
    <t>TODO</t>
  </si>
  <si>
    <t>加加鸽</t>
  </si>
  <si>
    <t>时长</t>
  </si>
  <si>
    <t>看到钢尺演奏很有意思</t>
  </si>
  <si>
    <t>使用</t>
  </si>
  <si>
    <t>xab</t>
  </si>
  <si>
    <t>看到大神用钢尺演奏很有意思，于是就想模仿</t>
  </si>
  <si>
    <t>但是没那个能力</t>
  </si>
  <si>
    <t>所以只能用程序员的办法了</t>
  </si>
  <si>
    <t>钢尺君/杯鸽等演奏片段</t>
  </si>
  <si>
    <t>范大将军梗</t>
  </si>
  <si>
    <t>但是“没那个能力”</t>
  </si>
  <si>
    <t>程序猿图片</t>
  </si>
  <si>
    <t>所以我决定做一个可以自动演奏的钢尺</t>
  </si>
  <si>
    <t>哆啦A梦</t>
  </si>
  <si>
    <t>过长动画</t>
  </si>
  <si>
    <t>过长动画～</t>
  </si>
  <si>
    <t>过场动画动画～</t>
  </si>
  <si>
    <t>过场动画～</t>
  </si>
  <si>
    <t>我的最初版设计手稿</t>
  </si>
  <si>
    <t>但是太难了，我“没那个能力”</t>
  </si>
  <si>
    <t>要实现钢尺演奏，需要一个夹持装置，将钢尺夹紧</t>
  </si>
  <si>
    <t>要实现钢尺演奏，需要一个夹持装置将钢尺夹紧；一个直线运动机构改变钢尺的长短；一个拨动机构弹奏钢尺。于是我就先画一个草图</t>
  </si>
  <si>
    <t>接下来就按照草图来建模</t>
  </si>
  <si>
    <t>打印</t>
  </si>
  <si>
    <t>组装模型与硬件</t>
  </si>
  <si>
    <t>撸代码</t>
  </si>
  <si>
    <t>建模</t>
  </si>
  <si>
    <t>接下来就按照草图来初步设计，选择硬件</t>
  </si>
  <si>
    <t>《你若三冬》</t>
  </si>
  <si>
    <t>《你若三冬》DJ版</t>
  </si>
  <si>
    <t>演奏并配上\0/组成的动效</t>
  </si>
  <si>
    <t>验证版虽然已经可以演奏了，但速度与音准都不太理想，同时还需要使用串口发送音符比较不方便</t>
  </si>
  <si>
    <t>演奏并配上\0/\o/\O/\0/组成的动效</t>
  </si>
  <si>
    <t>掩饰曲目待定</t>
  </si>
  <si>
    <t>演示曲目待定</t>
  </si>
  <si>
    <t>验证版虽然已经可以演奏了，但速度与音准都不太理想，同时还需要使用串口发送音符比较不方便。硬件方面，使用开发板连线，集成度也太低了。</t>
  </si>
  <si>
    <t>使用手机</t>
  </si>
  <si>
    <t>所以接下来就要解决上述问题</t>
  </si>
  <si>
    <t>验证版虽然已经可以演奏了，但速度与音准都不太理想，同时还需要使用串口发送音符比较不方便。硬件方面，使用开发板连线，集成度也太低了。所以接下来就要解决上述问题</t>
  </si>
  <si>
    <t>验证版虽然已经可以演奏了，但存在挺多问题：速度与音准都不太理想，串口发送音符不方便。使用开发板连线，集成度低。</t>
  </si>
  <si>
    <t>新版本外形轮廓</t>
  </si>
  <si>
    <t>新版本外形轮廓（宝可梦——我是谁）</t>
  </si>
  <si>
    <t>新版本就要解决这些问题</t>
  </si>
  <si>
    <t xml:space="preserve">验证版虽然已经可以演奏了，但存在挺多问题：速度与音准都不太理想，串口发送音符不方便。使用开发板连线，集成度低。
</t>
  </si>
  <si>
    <t xml:space="preserve">验证版虽然已经可以演奏了，但存在挺多问题：速度与音准都不太理想，串口发送音符不方便。使用开发板连线，集成度低。
</t>
  </si>
  <si>
    <t>验证版虽然已经可以演奏了，但存在挺多问题：
速度与音准都不太理想，串口发送音符不方便。使用开发板连线，集成度低。</t>
  </si>
  <si>
    <t>验证版虽然已经可以演奏了，但存在挺多问题：
速度与音准都不太理想、串口发送音符不方便、使用开发板连线集成度低、录音不方便</t>
  </si>
  <si>
    <t>分屏
左半屏
右半屏：</t>
  </si>
  <si>
    <r>
      <t>成果展示，使用动态镜头视角（平移/缩放切换），演奏曲目（</t>
    </r>
    <r>
      <rPr>
        <charset val="134"/>
        <sz val="10"/>
        <color rgb="FFFF0000"/>
        <rFont val="微软雅黑"/>
      </rPr>
      <t>哆啦A梦？</t>
    </r>
    <r>
      <rPr>
        <charset val="134"/>
        <sz val="10"/>
        <color rgb="FF000000"/>
        <rFont val="微软雅黑"/>
      </rPr>
      <t>）</t>
    </r>
  </si>
  <si>
    <r>
      <t>成果展示，使用动态镜头视角（平移/缩放切换），演奏曲目（</t>
    </r>
    <r>
      <rPr>
        <charset val="134"/>
        <sz val="10"/>
        <color rgb="FFFF0000"/>
        <rFont val="serif"/>
      </rPr>
      <t>哆啦A梦？</t>
    </r>
    <r>
      <rPr>
        <charset val="134"/>
        <sz val="10"/>
        <color rgb="FF000000"/>
        <rFont val="serif"/>
      </rPr>
      <t>）</t>
    </r>
  </si>
  <si>
    <r>
      <rPr>
        <charset val="134"/>
        <sz val="10"/>
        <color rgb="FF000000"/>
        <rFont val="微软雅黑"/>
      </rPr>
      <t>成果展示，使用动态镜头视角（平移/缩放切换），演奏曲目（</t>
    </r>
    <r>
      <rPr>
        <charset val="134"/>
        <sz val="10"/>
        <color rgb="FFFF0000"/>
        <rFont val="微软雅黑"/>
      </rPr>
      <t>哆啦A梦？</t>
    </r>
    <r>
      <rPr>
        <charset val="134"/>
        <sz val="10"/>
        <color rgb="FF000000"/>
        <rFont val="微软雅黑"/>
      </rPr>
      <t>）</t>
    </r>
  </si>
  <si>
    <r>
      <rPr>
        <charset val="134"/>
        <sz val="10"/>
        <color indexed="16777215"/>
        <rFont val="微软雅黑"/>
      </rPr>
      <t>成果展示，使用动态镜头视角（平移/缩放切换），演奏曲目（</t>
    </r>
    <r>
      <rPr>
        <charset val="134"/>
        <sz val="10"/>
        <color indexed="16777215"/>
        <rFont val="微软雅黑"/>
      </rPr>
      <t>哆啦A梦？</t>
    </r>
    <r>
      <rPr>
        <charset val="134"/>
        <sz val="10"/>
        <color indexed="16777215"/>
        <rFont val="微软雅黑"/>
      </rPr>
      <t>）</t>
    </r>
  </si>
  <si>
    <r>
      <rPr>
        <charset val="134"/>
        <sz val="10"/>
        <color indexed="16777215"/>
        <rFont val="微软雅黑"/>
      </rPr>
      <t>成果展示，使用动态镜头视角（平移/缩放切换），演奏曲目（</t>
    </r>
    <r>
      <rPr>
        <charset val="134"/>
        <sz val="10"/>
        <color indexed="16777215"/>
        <rFont val="微软雅黑"/>
      </rPr>
      <t>哆啦A梦？</t>
    </r>
    <r>
      <rPr>
        <charset val="134"/>
        <sz val="10"/>
        <color indexed="16777215"/>
        <rFont val="微软雅黑"/>
      </rPr>
      <t>）</t>
    </r>
  </si>
  <si>
    <r>
      <rPr>
        <charset val="134"/>
        <sz val="10"/>
        <color rgb="FF000000"/>
        <rFont val="微软雅黑"/>
      </rPr>
      <t>成果展示，使用动态镜头视角（平移/缩放切换），演奏曲目（</t>
    </r>
    <r>
      <rPr>
        <charset val="134"/>
        <sz val="10"/>
        <color rgb="FF000000"/>
        <rFont val="微软雅黑"/>
      </rPr>
      <t>哆啦A梦？</t>
    </r>
    <r>
      <rPr>
        <charset val="134"/>
        <sz val="10"/>
        <color rgb="FF000000"/>
        <rFont val="微软雅黑"/>
      </rPr>
      <t>）</t>
    </r>
  </si>
  <si>
    <r>
      <rPr>
        <charset val="134"/>
        <sz val="10"/>
        <color rgb="FF000000"/>
        <rFont val="微软雅黑"/>
      </rPr>
      <t>成果展示，使用动态镜头视角（平移/缩放切换），演奏曲目（</t>
    </r>
    <r>
      <rPr>
        <charset val="134"/>
        <sz val="10"/>
        <color rgb="FF000000"/>
        <rFont val="微软雅黑"/>
      </rPr>
      <t>哆啦A梦？</t>
    </r>
    <r>
      <rPr>
        <charset val="134"/>
        <sz val="10"/>
        <color rgb="FF000000"/>
        <rFont val="微软雅黑"/>
      </rPr>
      <t>）</t>
    </r>
  </si>
  <si>
    <t>分屏
左半屏：视频展示
右半屏：问题依次浮现</t>
  </si>
  <si>
    <t>左半屏：视频展示
右半屏：问题依次浮现</t>
  </si>
  <si>
    <t>首先，速度问题最重要，因为速度不够，很多个曲目无法演奏</t>
  </si>
  <si>
    <t>钟》</t>
  </si>
  <si>
    <t>《钟》</t>
  </si>
  <si>
    <t>拆解一下当前演奏一个音符的流程：</t>
  </si>
  <si>
    <t xml:space="preserve">拆解一下当前演奏一个音符的流程：
</t>
  </si>
  <si>
    <t>拆解一下当前演奏一个音符的流程：
抬起舵机--&gt;移动钢尺--&gt;舵机按下--&gt;舵机拨动</t>
  </si>
  <si>
    <t>其中</t>
  </si>
  <si>
    <t>建模--&gt;打印--&gt;组装与连线--&gt; --&gt;</t>
  </si>
  <si>
    <t>建模--&gt;打印--&gt;组装与连线--&gt;撸代码</t>
  </si>
  <si>
    <t>相应的画面</t>
  </si>
  <si>
    <r>
      <rPr>
        <charset val="134"/>
        <vertAlign val="subscript"/>
        <sz val="16"/>
        <color rgb="FF000000"/>
        <rFont val="微软雅黑"/>
      </rPr>
      <t>cd</t>
    </r>
    <r>
      <rPr>
        <charset val="134"/>
        <vertAlign val="superscript"/>
        <sz val="16"/>
        <color rgb="FF000000"/>
        <rFont val="微软雅黑"/>
      </rPr>
      <t xml:space="preserve">    ab</t>
    </r>
  </si>
  <si>
    <t>其中舵机抬起与落下耗时最多，需要着重优化</t>
  </si>
  <si>
    <t>此前录制的慢放</t>
  </si>
  <si>
    <t>开头5秒黄金时间，必须炸裂。演示曲目待定</t>
  </si>
  <si>
    <t>首先想到的就是加快按压钢尺的动作，更换更快速的舵机。</t>
  </si>
  <si>
    <t>但仔细查找了一番之后发现，机械结构中：速度快、力量大、体积小是一个不可能三角，最多只能取其二</t>
  </si>
  <si>
    <t>这个三角的动效</t>
  </si>
  <si>
    <t>想到钢尺是铁的，可以使用电磁铁把它吸住</t>
  </si>
  <si>
    <t>这个三角的动效
舵机：力量大、体积小、速度慢
无刷电机：速度快、体积小，力量小</t>
  </si>
  <si>
    <t>但仔细查找了一番之后发现，机械结构中：速度快、力量大、体积小是一个不可能三角，最多只能取其二
sg90舵机：力量大、体积小、速度慢
foc无刷电机：速度快、体积小，力量小
42步进电机：速度快、力量大、体积大</t>
  </si>
  <si>
    <t>三角动效，配上不同的器件</t>
  </si>
  <si>
    <t>此前录制的慢放视频</t>
  </si>
  <si>
    <t>买回来测试，效果很好</t>
  </si>
  <si>
    <t>其次，使用</t>
  </si>
  <si>
    <t>其次，丝杆步进电机</t>
  </si>
  <si>
    <t>但仔细查找了一番之后发现，机械结构中：速度快、力量大、体积小是一个不可能三角，最多只能取其二
sg90舵机：力量大、体积小、速度慢
foc无刷电机：速度快、体积小，力量小
3D打印机常用的42步进电机：速度快、力量大、体积大</t>
  </si>
  <si>
    <t>其次，丝杆步进电机，</t>
  </si>
  <si>
    <t>其次，丝杆步进电机，的移动速度也加快。参考光驱中的设计，需要增加导轨，减小阻力</t>
  </si>
  <si>
    <t>华强买瓜</t>
  </si>
  <si>
    <t>”</t>
  </si>
  <si>
    <t>“华强买瓜”</t>
  </si>
  <si>
    <t>那，吸铁石（华强买瓜语音）</t>
  </si>
  <si>
    <t>画中画）</t>
  </si>
  <si>
    <t>电磁铁吸住钢尺
画中画华强：买瓜</t>
  </si>
  <si>
    <t>电磁铁吸住钢尺
画中画：华强买瓜</t>
  </si>
  <si>
    <t>光驱内部结构</t>
  </si>
  <si>
    <t>两外，丝杆步进电机，的移动速度也加快。参考光驱中的设计，需要增加导轨，减小阻力</t>
  </si>
  <si>
    <t>其次，就要优化音准。此前是在桌面测试了几个长度的音高，换算出频率-长度函数。但这样并不准确</t>
  </si>
  <si>
    <t>其次，就要优化音准。此前是在桌面测试了几个长度的音高，换算出频率-长度函数。但这样人工测量非常耗时，而且并不准确</t>
  </si>
  <si>
    <t>拨动钢尺，用手机测量频率</t>
  </si>
  <si>
    <t>实现自动调音，加入麦克风</t>
  </si>
  <si>
    <t>验证版虽然已经可以演奏了，但存在挺多问题：
速度与音准都不太理想、串口发送音符不方便、使用开发板连线集成度低</t>
  </si>
  <si>
    <t>添加一个麦克风，使用程序控制拨动钢尺的不同长度，对麦克风采集到的音频进行傅里叶变换，得到相应的频率</t>
  </si>
  <si>
    <t>添加一个麦克风，使用程序控制拨动钢尺的不同长度，对麦克风采集到的音频进行傅里叶变换，得到频率。最终拟合出一个高精度的频率-步数(step)函数</t>
  </si>
  <si>
    <t>使用串口发送音符，很不方便。</t>
  </si>
  <si>
    <t>主流的电子乐器与宿主软件都支持midi输入输出。并且所以决定使用usb midi</t>
  </si>
  <si>
    <t>主流的电子乐器与宿主软件都支持midi输入输出。并且esp32s3开发板刚好有usb接口，所以决定使用usb midi作为音乐接口</t>
  </si>
  <si>
    <t>MIDI简介</t>
  </si>
  <si>
    <t>----------------</t>
  </si>
  <si>
    <t>使用串口发送音符，很不方便，也不能兼容主流乐谱。</t>
  </si>
  <si>
    <t>使用串口发送音符，很不方便，还需要自己手写乐谱。</t>
  </si>
  <si>
    <t>MIDI简介（待补充）</t>
  </si>
  <si>
    <t>按照新的设计</t>
  </si>
  <si>
    <t>其中舵机抬起与落下耗时最多，需要着重优化。首先想到的就是加快按压钢尺的动作，更换更快速的舵机。</t>
  </si>
  <si>
    <t>麦克风--》</t>
  </si>
  <si>
    <t>麦克风--&gt;正弦信号--&gt;频率图</t>
  </si>
  <si>
    <t>按照新的设计：建模--&gt;打印--&gt;组装与连线--&gt;撸代码--&gt;--&gt;</t>
  </si>
  <si>
    <t>按照新的设计：建模--&gt;打印--&gt;组装与连线--&gt;撸代码</t>
  </si>
  <si>
    <t>相应的画面（快放）</t>
  </si>
  <si>
    <t>测试OK</t>
  </si>
  <si>
    <t>测试画面（）</t>
  </si>
  <si>
    <t>测试画面</t>
  </si>
  <si>
    <t>测试（待补充）</t>
  </si>
  <si>
    <t>验证方案可行后，就要把这坨东西整合起来了</t>
  </si>
  <si>
    <t>杂乱的开发板连线</t>
  </si>
  <si>
    <t>首先需要画一个电路板，把开发板与各种元器件连接起来</t>
  </si>
  <si>
    <t>连线图</t>
  </si>
</sst>
</file>

<file path=xl/styles.xml><?xml version="1.0" encoding="utf-8"?>
<styleSheet xmlns="http://schemas.openxmlformats.org/spreadsheetml/2006/main">
  <numFmts count="3">
    <numFmt numFmtId="0" formatCode="General"/>
    <numFmt numFmtId="45" formatCode="mm:ss"/>
    <numFmt numFmtId="21" formatCode="h:mm:ss"/>
  </numFmts>
  <fonts count="4">
    <font>
      <name val="等线"/>
      <sz val="11"/>
    </font>
    <font>
      <name val="微软雅黑"/>
      <charset val="134"/>
      <sz val="11"/>
      <color rgb="FF000000"/>
    </font>
    <font>
      <name val="微软雅黑"/>
      <b/>
      <charset val="134"/>
      <sz val="11"/>
      <color rgb="FF000000"/>
    </font>
    <font>
      <name val="微软雅黑"/>
      <charset val="134"/>
      <sz val="11"/>
      <color rgb="FFFF0000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Border="1" applyAlignment="1">
      <alignment vertical="bottom" wrapText="1"/>
    </xf>
    <xf numFmtId="0" fontId="1" fillId="0" borderId="0" xfId="0" applyFont="1" applyAlignment="1">
      <alignment vertical="bottom" wrapText="1"/>
    </xf>
    <xf numFmtId="0" fontId="2" fillId="2" borderId="1" xfId="0" applyFont="1" applyFill="1" applyBorder="1" applyAlignment="1">
      <alignment vertical="bottom" wrapText="1"/>
    </xf>
    <xf numFmtId="45" fontId="1" fillId="0" borderId="1" xfId="0" applyNumberFormat="1" applyFont="1" applyBorder="1" applyAlignment="1">
      <alignment vertical="bottom" wrapText="1"/>
    </xf>
    <xf numFmtId="21" fontId="1" fillId="0" borderId="1" xfId="0" applyNumberFormat="1" applyFont="1" applyBorder="1" applyAlignment="1">
      <alignment vertical="bottom" wrapText="1"/>
    </xf>
    <xf numFmtId="0" fontId="3" fillId="0" borderId="1" xfId="0" applyFont="1" applyBorder="1" applyAlignment="1">
      <alignment vertical="bottom" wrapText="1"/>
    </xf>
    <xf numFmtId="0" fontId="2" fillId="0" borderId="1" xfId="0" applyFont="1" applyBorder="1" applyAlignment="1">
      <alignment vertical="bottom" wrapText="1"/>
    </xf>
    <xf numFmtId="0" fontId="1" fillId="0" borderId="2" xfId="0" applyFont="1" applyBorder="1" applyAlignment="1">
      <alignment vertical="bottom" wrapText="1"/>
    </xf>
    <xf numFmtId="0" fontId="3" fillId="0" borderId="2" xfId="0" applyFont="1" applyBorder="1" applyAlignment="1">
      <alignment vertical="bottom" wrapText="1"/>
    </xf>
    <xf numFmtId="0" fontId="1" fillId="0" borderId="3" xfId="0" applyFont="1" applyBorder="1" applyAlignment="1">
      <alignment vertical="bottom" wrapText="1"/>
    </xf>
    <xf numFmtId="0" fontId="0" fillId="0" borderId="1" xfId="0" applyBorder="1">
      <alignment vertical="center"/>
    </xf>
    <xf numFmtId="0" fontId="1" fillId="0" borderId="4" xfId="0" applyFont="1" applyBorder="1" applyAlignment="1">
      <alignment vertical="bottom" wrapText="1"/>
    </xf>
    <xf numFmtId="0" fontId="0" fillId="0" borderId="0" xfId="0" applyBorder="1">
      <alignment vertical="center"/>
    </xf>
  </cellXfs>
  <cellStyles count="1">
    <cellStyle name="常规" xfId="0" builtinId="0"/>
  </cellStyles>
  <dxfs count="0"/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www.wps.cn/officeDocument/2020/cellImage" Target="cellimages.xml"/><Relationship Id="rId3" Type="http://schemas.openxmlformats.org/officeDocument/2006/relationships/sharedStrings" Target="sharedStrings.xml"/><Relationship Id="rId4" Type="http://schemas.openxmlformats.org/officeDocument/2006/relationships/styles" Target="styles.xml"/><Relationship Id="rId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dimension ref="A1:O32"/>
  <sheetViews>
    <sheetView tabSelected="1" workbookViewId="0" topLeftCell="A15" zoomScale="75">
      <selection activeCell="E28" sqref="E28"/>
    </sheetView>
  </sheetViews>
  <sheetFormatPr defaultRowHeight="28.05" customHeight="1" defaultColWidth="10"/>
  <cols>
    <col min="1" max="1" customWidth="1" bestFit="1" width="4.9296875" style="1"/>
    <col min="2" max="2" customWidth="1" bestFit="1" width="6.1992188" style="1"/>
    <col min="3" max="3" customWidth="1" bestFit="1" width="13.1328125" style="1"/>
    <col min="4" max="4" customWidth="1" width="68.71094" style="1"/>
    <col min="5" max="5" customWidth="1" bestFit="1" width="75.66406" style="1"/>
    <col min="6" max="6" customWidth="1" bestFit="1" width="29.199219" style="1"/>
    <col min="7" max="7" customWidth="1" bestFit="1" width="38.796875" style="1"/>
    <col min="8" max="16384" customWidth="0" width="9.066406" style="2"/>
  </cols>
  <sheetData>
    <row r="1" spans="8:8" ht="28.05" customHeight="1">
      <c r="A1" s="3" t="s">
        <v>2</v>
      </c>
      <c r="B1" s="3" t="s">
        <v>13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spans="8:8" ht="28.05" customHeight="1">
      <c r="A2" s="1">
        <v>1.0</v>
      </c>
      <c r="B2" s="4">
        <v>1.1574074074074073E-4</v>
      </c>
      <c r="C2" s="5">
        <v>0.0</v>
      </c>
      <c r="D2" s="1" t="s">
        <v>8</v>
      </c>
      <c r="E2" s="1" t="s">
        <v>0</v>
      </c>
      <c r="F2" s="1" t="s">
        <v>9</v>
      </c>
      <c r="G2" s="1" t="s">
        <v>82</v>
      </c>
    </row>
    <row r="3" spans="8:8" ht="28.05" customHeight="1">
      <c r="A3" s="1">
        <v>2.0</v>
      </c>
      <c r="B3" s="4">
        <v>5.7870370370370366E-5</v>
      </c>
      <c r="C3" s="5">
        <f>C2+B2</f>
        <v>1.15740740740741E-4</v>
      </c>
      <c r="D3" s="1" t="s">
        <v>10</v>
      </c>
      <c r="E3" s="1" t="s">
        <v>12</v>
      </c>
      <c r="F3" s="6" t="s">
        <v>11</v>
      </c>
    </row>
    <row r="4" spans="8:8" ht="28.05" customHeight="1">
      <c r="A4" s="1">
        <v>3.0</v>
      </c>
      <c r="B4" s="4">
        <v>0.0</v>
      </c>
      <c r="C4" s="5">
        <f>C3+B3</f>
        <v>1.7361111111111142E-4</v>
      </c>
      <c r="D4" s="1" t="s">
        <v>20</v>
      </c>
      <c r="E4" s="1" t="s">
        <v>17</v>
      </c>
    </row>
    <row r="5" spans="8:8" ht="28.05" customHeight="1">
      <c r="A5" s="1">
        <v>4.0</v>
      </c>
      <c r="B5" s="4">
        <v>0.0</v>
      </c>
      <c r="C5" s="5">
        <f>C4+B4</f>
        <v>1.73611111111111E-4</v>
      </c>
      <c r="D5" s="1" t="s">
        <v>21</v>
      </c>
      <c r="E5" s="1" t="s">
        <v>31</v>
      </c>
    </row>
    <row r="6" spans="8:8" ht="28.05" customHeight="1">
      <c r="A6" s="1">
        <v>5.0</v>
      </c>
      <c r="B6" s="4">
        <v>0.0</v>
      </c>
      <c r="C6" s="5">
        <f>C5+B5</f>
        <v>1.73611111111111E-4</v>
      </c>
      <c r="D6" s="1" t="s">
        <v>23</v>
      </c>
      <c r="E6" s="1" t="s">
        <v>19</v>
      </c>
    </row>
    <row r="7" spans="8:8" ht="28.05" customHeight="1">
      <c r="B7" s="4"/>
      <c r="C7" s="5"/>
      <c r="D7" s="1" t="s">
        <v>25</v>
      </c>
      <c r="E7" s="1" t="s">
        <v>24</v>
      </c>
    </row>
    <row r="8" spans="8:8" ht="28.05" customHeight="1">
      <c r="B8" s="4"/>
      <c r="C8" s="5"/>
      <c r="D8" s="7" t="s">
        <v>29</v>
      </c>
    </row>
    <row r="9" spans="8:8" ht="28.05" customHeight="1">
      <c r="B9" s="4"/>
      <c r="C9" s="5"/>
      <c r="D9"/>
      <c r="E9" s="1" t="s">
        <v>39</v>
      </c>
    </row>
    <row r="10" spans="8:8" ht="28.05" customHeight="1">
      <c r="B10" s="4"/>
      <c r="C10" s="5"/>
      <c r="D10" s="1" t="s">
        <v>127</v>
      </c>
      <c r="E10" s="1" t="s">
        <v>77</v>
      </c>
    </row>
    <row r="11" spans="8:8" ht="28.05" customHeight="1">
      <c r="B11" s="4"/>
      <c r="C11" s="5"/>
      <c r="D11" s="1" t="s">
        <v>44</v>
      </c>
      <c r="E11"/>
      <c r="F11" s="8" t="s">
        <v>41</v>
      </c>
      <c r="G11" s="9" t="s">
        <v>46</v>
      </c>
    </row>
    <row r="12" spans="8:8" ht="28.05" customHeight="1">
      <c r="B12" s="4"/>
      <c r="C12" s="5"/>
      <c r="D12" s="1" t="s">
        <v>68</v>
      </c>
      <c r="E12" s="10" t="s">
        <v>110</v>
      </c>
      <c r="F12" s="11"/>
      <c r="G12" s="11"/>
    </row>
    <row r="13" spans="8:8" ht="28.05" customHeight="1">
      <c r="B13" s="4"/>
      <c r="C13" s="5"/>
      <c r="D13"/>
      <c r="E13" s="10" t="s">
        <v>54</v>
      </c>
      <c r="F13" s="11"/>
      <c r="G13" s="11"/>
    </row>
    <row r="14" spans="8:8" ht="28.05" customHeight="1">
      <c r="B14" s="4"/>
      <c r="C14" s="5"/>
      <c r="D14" s="8" t="s">
        <v>71</v>
      </c>
      <c r="E14" s="10" t="s">
        <v>69</v>
      </c>
      <c r="F14" s="11"/>
      <c r="G14" s="9" t="s">
        <v>46</v>
      </c>
    </row>
    <row r="15" spans="8:8" ht="28.05">
      <c r="D15" s="11" t="s">
        <v>90</v>
      </c>
      <c r="E15" s="12" t="s">
        <v>74</v>
      </c>
      <c r="F15" s="11"/>
      <c r="G15" s="11"/>
    </row>
    <row r="16" spans="8:8" ht="28.05" customHeight="1">
      <c r="D16" s="13"/>
      <c r="E16" s="10" t="s">
        <v>122</v>
      </c>
      <c r="F16" s="11"/>
      <c r="G16" s="11"/>
    </row>
    <row r="17" spans="8:8" ht="54.15">
      <c r="D17" s="1" t="s">
        <v>89</v>
      </c>
      <c r="E17" s="1" t="s">
        <v>94</v>
      </c>
    </row>
    <row r="18" spans="8:8" ht="28.05">
      <c r="D18" s="1" t="s">
        <v>103</v>
      </c>
      <c r="E18" s="1" t="s">
        <v>86</v>
      </c>
      <c r="F18" s="1" t="s">
        <v>100</v>
      </c>
    </row>
    <row r="19" spans="8:8">
      <c r="D19" s="1" t="s">
        <v>104</v>
      </c>
      <c r="E19" s="1" t="s">
        <v>105</v>
      </c>
    </row>
    <row r="20" spans="8:8" ht="28.05">
      <c r="D20" s="1" t="s">
        <v>117</v>
      </c>
      <c r="E20" s="1"/>
    </row>
    <row r="21" spans="8:8" ht="28.05" customHeight="1">
      <c r="D21" s="1" t="s">
        <v>108</v>
      </c>
      <c r="E21" s="1" t="s">
        <v>107</v>
      </c>
    </row>
    <row r="22" spans="8:8">
      <c r="D22" s="1" t="s">
        <v>124</v>
      </c>
      <c r="E22" s="1" t="s">
        <v>112</v>
      </c>
    </row>
    <row r="23" spans="8:8">
      <c r="D23" s="1" t="s">
        <v>117</v>
      </c>
    </row>
    <row r="24" spans="8:8">
      <c r="E24" s="1" t="s">
        <v>119</v>
      </c>
    </row>
    <row r="25" spans="8:8">
      <c r="D25" s="1" t="s">
        <v>116</v>
      </c>
      <c r="E25" s="6" t="s">
        <v>120</v>
      </c>
    </row>
    <row r="26" spans="8:8">
      <c r="E26" s="1" t="s">
        <v>115</v>
      </c>
    </row>
    <row r="27" spans="8:8">
      <c r="D27" s="1" t="s">
        <v>117</v>
      </c>
    </row>
    <row r="28" spans="8:8">
      <c r="D28" s="1" t="s">
        <v>127</v>
      </c>
      <c r="E28" s="1" t="s">
        <v>126</v>
      </c>
    </row>
    <row r="29" spans="8:8">
      <c r="D29" s="1" t="s">
        <v>130</v>
      </c>
      <c r="E29" s="6" t="s">
        <v>131</v>
      </c>
    </row>
    <row r="30" spans="8:8">
      <c r="D30" s="1" t="s">
        <v>117</v>
      </c>
    </row>
    <row r="31" spans="8:8">
      <c r="D31" s="1" t="s">
        <v>133</v>
      </c>
      <c r="E31" s="1" t="s">
        <v>132</v>
      </c>
    </row>
    <row r="32" spans="8:8">
      <c r="D32" s="1" t="s">
        <v>135</v>
      </c>
      <c r="E32" s="1" t="s">
        <v>134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Jia Luo</dc:creator>
  <cp:lastModifiedBy>Jia Luo</cp:lastModifiedBy>
  <dcterms:created xsi:type="dcterms:W3CDTF">2015-06-03T02:17:20Z</dcterms:created>
  <dcterms:modified xsi:type="dcterms:W3CDTF">2025-08-08T09:24:22Z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95251f38eb8e4a5e87d14907551875f4</vt:lpwstr>
  </property>
</Properties>
</file>